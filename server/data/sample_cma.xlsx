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c1\d\S S &amp; Solutions F.Y 17-18\NET WORTH CERTIFICATE\PROJECT REPORT\TJSB Bank - Shree Enterprises\"/>
    </mc:Choice>
  </mc:AlternateContent>
  <bookViews>
    <workbookView xWindow="240" yWindow="75" windowWidth="8475" windowHeight="6660" tabRatio="842" activeTab="6"/>
  </bookViews>
  <sheets>
    <sheet name="INFO PAGE" sheetId="17" r:id="rId1"/>
    <sheet name="FRONT PAGE" sheetId="18" r:id="rId2"/>
    <sheet name="FINAL REPORT" sheetId="15" r:id="rId3"/>
    <sheet name="SCH 2 cap" sheetId="13" r:id="rId4"/>
    <sheet name="SCH 2" sheetId="16" r:id="rId5"/>
    <sheet name="EMI" sheetId="19" r:id="rId6"/>
    <sheet name="OD" sheetId="21" r:id="rId7"/>
    <sheet name="Sheet1" sheetId="20" state="hidden" r:id="rId8"/>
  </sheets>
  <externalReferences>
    <externalReference r:id="rId9"/>
  </externalReferences>
  <definedNames>
    <definedName name="Beg_Bal">#REF!</definedName>
    <definedName name="dep">'FINAL REPORT'!$A$183:$C$232</definedName>
    <definedName name="drscrs">'FINAL REPORT'!$A$149:$C$178</definedName>
    <definedName name="ELIGIBILITY_FOR_BANK_OVERDRAFT">#REF!</definedName>
    <definedName name="End_Bal">'[1]Loan Calculator'!$I$18:$I$377</definedName>
    <definedName name="Extra_Pay">#REF!</definedName>
    <definedName name="Header_Row">ROW('[1]Loan Calculator'!$A$17:$IV$17)</definedName>
    <definedName name="Int">#REF!</definedName>
    <definedName name="Interest_Rate">'[1]Loan Calculator'!$D$5</definedName>
    <definedName name="Last_Row">IF(Values_Entered,Header_Row+Number_of_Payments,Header_Row)</definedName>
    <definedName name="Loan_Amount">'[1]Loan Calculator'!$D$4</definedName>
    <definedName name="Loan_Start">'[1]Loan Calculator'!$D$7</definedName>
    <definedName name="Loan_Years">'[1]Loan Calculator'!$D$6</definedName>
    <definedName name="ns">'FINAL REPORT'!$A$59:$C$101</definedName>
    <definedName name="Number_of_Payments">MATCH(0.01,End_Bal,-1)+1</definedName>
    <definedName name="Pay_Num">#REF!</definedName>
    <definedName name="pl">#REF!</definedName>
    <definedName name="Princ">#REF!</definedName>
    <definedName name="_xlnm.Print_Area" localSheetId="5">EMI!$A$1:$I$138</definedName>
    <definedName name="_xlnm.Print_Area" localSheetId="2">'FINAL REPORT'!$A$1:$L$231</definedName>
    <definedName name="_xlnm.Print_Area" localSheetId="0">'INFO PAGE'!$A$1:$D$24</definedName>
    <definedName name="_xlnm.Print_Area" localSheetId="4">'SCH 2'!$A$1:$L$27</definedName>
    <definedName name="_xlnm.Print_Area" localSheetId="3">'SCH 2 cap'!$A$1:$L$18</definedName>
    <definedName name="profitloss">'FINAL REPORT'!$A$27:$C$54</definedName>
    <definedName name="RMCONS">#REF!</definedName>
    <definedName name="Sched_Pay">#REF!</definedName>
    <definedName name="Scheduled_Extra_Payments">#REF!</definedName>
    <definedName name="Scheduled_Monthly_Payment">#REF!</definedName>
    <definedName name="Total_Pay">#REF!</definedName>
    <definedName name="Values_Entered">IF(Loan_Amount*Interest_Rate*Loan_Years*Loan_Start&gt;0,1,0)</definedName>
    <definedName name="wc">'FINAL REPORT'!$A$4:$C$17</definedName>
  </definedNames>
  <calcPr calcId="162913"/>
</workbook>
</file>

<file path=xl/calcChain.xml><?xml version="1.0" encoding="utf-8"?>
<calcChain xmlns="http://schemas.openxmlformats.org/spreadsheetml/2006/main">
  <c r="L186" i="15" l="1"/>
  <c r="K186" i="15"/>
  <c r="J186" i="15"/>
  <c r="I186" i="15"/>
  <c r="H186" i="15"/>
  <c r="G186" i="15"/>
  <c r="F186" i="15"/>
  <c r="E186" i="15"/>
  <c r="D186" i="15"/>
  <c r="C186" i="15"/>
  <c r="B186" i="15"/>
  <c r="L185" i="15"/>
  <c r="K185" i="15"/>
  <c r="J185" i="15"/>
  <c r="I185" i="15"/>
  <c r="H185" i="15"/>
  <c r="G185" i="15"/>
  <c r="F185" i="15"/>
  <c r="E185" i="15"/>
  <c r="D185" i="15"/>
  <c r="C185" i="15"/>
  <c r="B185" i="15"/>
  <c r="L171" i="15"/>
  <c r="K171" i="15"/>
  <c r="J171" i="15"/>
  <c r="I171" i="15"/>
  <c r="H171" i="15"/>
  <c r="G171" i="15"/>
  <c r="F171" i="15"/>
  <c r="E171" i="15"/>
  <c r="D171" i="15"/>
  <c r="C171" i="15"/>
  <c r="B171" i="15"/>
  <c r="L161" i="15"/>
  <c r="K161" i="15"/>
  <c r="J161" i="15"/>
  <c r="I161" i="15"/>
  <c r="H161" i="15"/>
  <c r="G161" i="15"/>
  <c r="F161" i="15"/>
  <c r="E161" i="15"/>
  <c r="D161" i="15"/>
  <c r="C161" i="15"/>
  <c r="B161" i="15"/>
  <c r="L151" i="15"/>
  <c r="K151" i="15"/>
  <c r="J151" i="15"/>
  <c r="I151" i="15"/>
  <c r="H151" i="15"/>
  <c r="G151" i="15"/>
  <c r="F151" i="15"/>
  <c r="E151" i="15"/>
  <c r="D151" i="15"/>
  <c r="C151" i="15"/>
  <c r="B151" i="15"/>
  <c r="L194" i="15"/>
  <c r="L203" i="15" s="1"/>
  <c r="L212" i="15" s="1"/>
  <c r="B172" i="15"/>
  <c r="C172" i="15"/>
  <c r="D172" i="15"/>
  <c r="E172" i="15"/>
  <c r="F172" i="15"/>
  <c r="G172" i="15"/>
  <c r="H172" i="15"/>
  <c r="I172" i="15"/>
  <c r="J172" i="15"/>
  <c r="K172" i="15"/>
  <c r="L172" i="15"/>
  <c r="B174" i="15"/>
  <c r="B175" i="15" s="1"/>
  <c r="B177" i="15" s="1"/>
  <c r="C174" i="15"/>
  <c r="C175" i="15" s="1"/>
  <c r="D174" i="15"/>
  <c r="D175" i="15" s="1"/>
  <c r="E174" i="15"/>
  <c r="E175" i="15" s="1"/>
  <c r="F174" i="15"/>
  <c r="F175" i="15" s="1"/>
  <c r="G174" i="15"/>
  <c r="G175" i="15" s="1"/>
  <c r="H174" i="15"/>
  <c r="H175" i="15" s="1"/>
  <c r="I174" i="15"/>
  <c r="I175" i="15" s="1"/>
  <c r="J174" i="15"/>
  <c r="K174" i="15"/>
  <c r="L174" i="15"/>
  <c r="J175" i="15"/>
  <c r="K175" i="15"/>
  <c r="L175" i="15"/>
  <c r="L177" i="15" s="1"/>
  <c r="B176" i="15"/>
  <c r="C176" i="15"/>
  <c r="C177" i="15" s="1"/>
  <c r="D176" i="15"/>
  <c r="E176" i="15"/>
  <c r="F176" i="15"/>
  <c r="G176" i="15"/>
  <c r="G177" i="15" s="1"/>
  <c r="H176" i="15"/>
  <c r="I176" i="15"/>
  <c r="J176" i="15"/>
  <c r="K176" i="15"/>
  <c r="L176" i="15"/>
  <c r="A2" i="16"/>
  <c r="A3" i="13"/>
  <c r="A180" i="15"/>
  <c r="A146" i="15"/>
  <c r="A104" i="15"/>
  <c r="A57" i="15"/>
  <c r="A24" i="15"/>
  <c r="L90" i="15"/>
  <c r="L84" i="15"/>
  <c r="K84" i="15"/>
  <c r="H85" i="15"/>
  <c r="G84" i="15"/>
  <c r="F84" i="15"/>
  <c r="E84" i="15"/>
  <c r="D84" i="15"/>
  <c r="C84" i="15"/>
  <c r="C86" i="15"/>
  <c r="D86" i="15" s="1"/>
  <c r="E86" i="15" s="1"/>
  <c r="F86" i="15" s="1"/>
  <c r="G86" i="15" s="1"/>
  <c r="H86" i="15" s="1"/>
  <c r="I86" i="15" s="1"/>
  <c r="J86" i="15" s="1"/>
  <c r="K86" i="15" s="1"/>
  <c r="L86" i="15" s="1"/>
  <c r="K90" i="15"/>
  <c r="J90" i="15"/>
  <c r="I90" i="15"/>
  <c r="H90" i="15"/>
  <c r="G90" i="15"/>
  <c r="F90" i="15"/>
  <c r="E90" i="15"/>
  <c r="D90" i="15"/>
  <c r="C90" i="15"/>
  <c r="J84" i="15"/>
  <c r="I84" i="15"/>
  <c r="H84" i="15"/>
  <c r="K80" i="15"/>
  <c r="J80" i="15"/>
  <c r="I80" i="15"/>
  <c r="H80" i="15"/>
  <c r="G80" i="15"/>
  <c r="F80" i="15"/>
  <c r="E80" i="15"/>
  <c r="D80" i="15"/>
  <c r="C80" i="15"/>
  <c r="B85" i="15"/>
  <c r="B86" i="15"/>
  <c r="L69" i="15"/>
  <c r="L61" i="15"/>
  <c r="K61" i="15"/>
  <c r="J61" i="15"/>
  <c r="I61" i="15"/>
  <c r="H61" i="15"/>
  <c r="G61" i="15"/>
  <c r="F61" i="15"/>
  <c r="E61" i="15"/>
  <c r="D61" i="15"/>
  <c r="C61" i="15"/>
  <c r="B61" i="15"/>
  <c r="B11" i="13"/>
  <c r="B51" i="15"/>
  <c r="L32" i="15"/>
  <c r="C20" i="21"/>
  <c r="K69" i="15" s="1"/>
  <c r="C12" i="21"/>
  <c r="C69" i="15" s="1"/>
  <c r="D20" i="21"/>
  <c r="D21" i="21" s="1"/>
  <c r="E11" i="21"/>
  <c r="C47" i="15" s="1"/>
  <c r="D37" i="15"/>
  <c r="D36" i="15"/>
  <c r="L44" i="15"/>
  <c r="J130" i="19"/>
  <c r="J118" i="19"/>
  <c r="J106" i="19"/>
  <c r="J94" i="19"/>
  <c r="J82" i="19"/>
  <c r="J71" i="19"/>
  <c r="J59" i="19"/>
  <c r="J35" i="19"/>
  <c r="J47" i="19"/>
  <c r="J23" i="19"/>
  <c r="E15" i="16"/>
  <c r="F15" i="16" s="1"/>
  <c r="G15" i="16" s="1"/>
  <c r="H15" i="16" s="1"/>
  <c r="I15" i="16" s="1"/>
  <c r="J15" i="16" s="1"/>
  <c r="K15" i="16" s="1"/>
  <c r="L15" i="16" s="1"/>
  <c r="D15" i="16"/>
  <c r="E14" i="16"/>
  <c r="F14" i="16" s="1"/>
  <c r="G14" i="16" s="1"/>
  <c r="H14" i="16" s="1"/>
  <c r="I14" i="16" s="1"/>
  <c r="J14" i="16" s="1"/>
  <c r="K14" i="16" s="1"/>
  <c r="L14" i="16" s="1"/>
  <c r="D14" i="16"/>
  <c r="E13" i="16"/>
  <c r="F13" i="16" s="1"/>
  <c r="G13" i="16" s="1"/>
  <c r="H13" i="16" s="1"/>
  <c r="I13" i="16" s="1"/>
  <c r="J13" i="16" s="1"/>
  <c r="K13" i="16" s="1"/>
  <c r="L13" i="16" s="1"/>
  <c r="D13" i="16"/>
  <c r="E11" i="16"/>
  <c r="F11" i="16" s="1"/>
  <c r="G11" i="16" s="1"/>
  <c r="H11" i="16" s="1"/>
  <c r="I11" i="16" s="1"/>
  <c r="J11" i="16" s="1"/>
  <c r="K11" i="16" s="1"/>
  <c r="L11" i="16" s="1"/>
  <c r="D11" i="16"/>
  <c r="E10" i="16"/>
  <c r="F10" i="16" s="1"/>
  <c r="G10" i="16" s="1"/>
  <c r="H10" i="16" s="1"/>
  <c r="I10" i="16" s="1"/>
  <c r="J10" i="16" s="1"/>
  <c r="K10" i="16" s="1"/>
  <c r="L10" i="16" s="1"/>
  <c r="D10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K37" i="15"/>
  <c r="J37" i="15"/>
  <c r="I37" i="15"/>
  <c r="L36" i="15"/>
  <c r="K36" i="15"/>
  <c r="J36" i="15"/>
  <c r="I36" i="15"/>
  <c r="H36" i="15"/>
  <c r="F37" i="15"/>
  <c r="E36" i="15"/>
  <c r="H37" i="15"/>
  <c r="G37" i="15"/>
  <c r="E37" i="15"/>
  <c r="C37" i="15"/>
  <c r="G36" i="15"/>
  <c r="F36" i="15"/>
  <c r="E32" i="15"/>
  <c r="D32" i="15"/>
  <c r="C32" i="15"/>
  <c r="B199" i="15"/>
  <c r="B11" i="16"/>
  <c r="L8" i="13"/>
  <c r="K8" i="13"/>
  <c r="J8" i="13"/>
  <c r="I8" i="13"/>
  <c r="H8" i="13"/>
  <c r="G8" i="13"/>
  <c r="F8" i="13"/>
  <c r="E8" i="13"/>
  <c r="D8" i="13"/>
  <c r="C8" i="13"/>
  <c r="B8" i="13"/>
  <c r="L7" i="13"/>
  <c r="K7" i="13"/>
  <c r="J7" i="13"/>
  <c r="I7" i="13"/>
  <c r="H7" i="13"/>
  <c r="G7" i="13"/>
  <c r="F7" i="13"/>
  <c r="E7" i="13"/>
  <c r="D7" i="13"/>
  <c r="C7" i="13"/>
  <c r="B7" i="13"/>
  <c r="L7" i="16"/>
  <c r="L6" i="16"/>
  <c r="K7" i="16"/>
  <c r="J7" i="16"/>
  <c r="I7" i="16"/>
  <c r="H7" i="16"/>
  <c r="G7" i="16"/>
  <c r="F7" i="16"/>
  <c r="E7" i="16"/>
  <c r="D7" i="16"/>
  <c r="C7" i="16"/>
  <c r="B7" i="16"/>
  <c r="K6" i="16"/>
  <c r="J6" i="16"/>
  <c r="I6" i="16"/>
  <c r="H6" i="16"/>
  <c r="G6" i="16"/>
  <c r="F6" i="16"/>
  <c r="E6" i="16"/>
  <c r="D6" i="16"/>
  <c r="C6" i="16"/>
  <c r="B6" i="16"/>
  <c r="B37" i="15"/>
  <c r="B36" i="15"/>
  <c r="L109" i="15"/>
  <c r="K109" i="15"/>
  <c r="J109" i="15"/>
  <c r="I109" i="15"/>
  <c r="H109" i="15"/>
  <c r="G109" i="15"/>
  <c r="F109" i="15"/>
  <c r="E109" i="15"/>
  <c r="D109" i="15"/>
  <c r="C109" i="15"/>
  <c r="B109" i="15"/>
  <c r="B62" i="15"/>
  <c r="L108" i="15"/>
  <c r="K108" i="15"/>
  <c r="J108" i="15"/>
  <c r="I108" i="15"/>
  <c r="H108" i="15"/>
  <c r="G108" i="15"/>
  <c r="F108" i="15"/>
  <c r="E108" i="15"/>
  <c r="D108" i="15"/>
  <c r="C108" i="15"/>
  <c r="B108" i="15"/>
  <c r="L224" i="15"/>
  <c r="L152" i="15"/>
  <c r="L162" i="15" s="1"/>
  <c r="L195" i="15" s="1"/>
  <c r="L204" i="15" s="1"/>
  <c r="L213" i="15" s="1"/>
  <c r="L222" i="15" s="1"/>
  <c r="L140" i="15"/>
  <c r="L142" i="15" s="1"/>
  <c r="E20" i="21" l="1"/>
  <c r="L47" i="15" s="1"/>
  <c r="L136" i="15" s="1"/>
  <c r="E12" i="21"/>
  <c r="D47" i="15" s="1"/>
  <c r="C13" i="21"/>
  <c r="J177" i="15"/>
  <c r="F177" i="15"/>
  <c r="K177" i="15"/>
  <c r="E177" i="15"/>
  <c r="D177" i="15"/>
  <c r="I177" i="15"/>
  <c r="H177" i="15"/>
  <c r="L221" i="15"/>
  <c r="D33" i="15"/>
  <c r="D21" i="16"/>
  <c r="E21" i="16" s="1"/>
  <c r="F21" i="16" s="1"/>
  <c r="G21" i="16" s="1"/>
  <c r="H21" i="16" s="1"/>
  <c r="I21" i="16" s="1"/>
  <c r="J21" i="16" s="1"/>
  <c r="K21" i="16" s="1"/>
  <c r="L21" i="16" s="1"/>
  <c r="D69" i="15" l="1"/>
  <c r="C14" i="21"/>
  <c r="E13" i="21"/>
  <c r="E47" i="15" s="1"/>
  <c r="C122" i="15"/>
  <c r="C164" i="15"/>
  <c r="C165" i="15" s="1"/>
  <c r="K152" i="15"/>
  <c r="K162" i="15" s="1"/>
  <c r="K195" i="15" s="1"/>
  <c r="K204" i="15" s="1"/>
  <c r="K213" i="15" s="1"/>
  <c r="K222" i="15" s="1"/>
  <c r="J152" i="15"/>
  <c r="J162" i="15" s="1"/>
  <c r="J195" i="15" s="1"/>
  <c r="J204" i="15" s="1"/>
  <c r="J213" i="15" s="1"/>
  <c r="J222" i="15" s="1"/>
  <c r="I152" i="15"/>
  <c r="I162" i="15" s="1"/>
  <c r="I195" i="15" s="1"/>
  <c r="I204" i="15" s="1"/>
  <c r="I213" i="15" s="1"/>
  <c r="I222" i="15" s="1"/>
  <c r="H152" i="15"/>
  <c r="H162" i="15" s="1"/>
  <c r="H195" i="15" s="1"/>
  <c r="H204" i="15" s="1"/>
  <c r="H213" i="15" s="1"/>
  <c r="H222" i="15" s="1"/>
  <c r="G152" i="15"/>
  <c r="G162" i="15" s="1"/>
  <c r="G195" i="15" s="1"/>
  <c r="G204" i="15" s="1"/>
  <c r="G213" i="15" s="1"/>
  <c r="G222" i="15" s="1"/>
  <c r="L80" i="15"/>
  <c r="C166" i="15"/>
  <c r="K224" i="15"/>
  <c r="J224" i="15"/>
  <c r="I224" i="15"/>
  <c r="H224" i="15"/>
  <c r="G224" i="15"/>
  <c r="K194" i="15"/>
  <c r="K203" i="15" s="1"/>
  <c r="J194" i="15"/>
  <c r="J203" i="15" s="1"/>
  <c r="I194" i="15"/>
  <c r="I203" i="15" s="1"/>
  <c r="H194" i="15"/>
  <c r="H203" i="15" s="1"/>
  <c r="G194" i="15"/>
  <c r="G203" i="15" s="1"/>
  <c r="I137" i="19"/>
  <c r="I124" i="19"/>
  <c r="I112" i="19"/>
  <c r="I100" i="19"/>
  <c r="I88" i="19"/>
  <c r="F17" i="19"/>
  <c r="D8" i="19"/>
  <c r="E14" i="21" l="1"/>
  <c r="E69" i="15"/>
  <c r="C15" i="21"/>
  <c r="I212" i="15"/>
  <c r="I221" i="15" s="1"/>
  <c r="J212" i="15"/>
  <c r="J221" i="15" s="1"/>
  <c r="G212" i="15"/>
  <c r="G221" i="15" s="1"/>
  <c r="H212" i="15"/>
  <c r="H221" i="15" s="1"/>
  <c r="K212" i="15"/>
  <c r="K221" i="15" s="1"/>
  <c r="D12" i="19"/>
  <c r="D18" i="19"/>
  <c r="E15" i="21" l="1"/>
  <c r="G47" i="15" s="1"/>
  <c r="G136" i="15" s="1"/>
  <c r="F69" i="15"/>
  <c r="C16" i="21"/>
  <c r="F47" i="15"/>
  <c r="C77" i="19"/>
  <c r="C76" i="19"/>
  <c r="C75" i="19"/>
  <c r="C74" i="19"/>
  <c r="C73" i="19"/>
  <c r="C72" i="19"/>
  <c r="C71" i="19"/>
  <c r="C70" i="19"/>
  <c r="C69" i="19"/>
  <c r="C68" i="19"/>
  <c r="C67" i="19"/>
  <c r="C66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E18" i="19" s="1"/>
  <c r="F18" i="19" s="1"/>
  <c r="C65" i="19"/>
  <c r="C64" i="19"/>
  <c r="C63" i="19"/>
  <c r="C62" i="19"/>
  <c r="C61" i="19"/>
  <c r="C60" i="19"/>
  <c r="C59" i="19"/>
  <c r="C58" i="19"/>
  <c r="C57" i="19"/>
  <c r="C56" i="19"/>
  <c r="C55" i="19"/>
  <c r="C54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E16" i="21" l="1"/>
  <c r="C17" i="21"/>
  <c r="G69" i="15"/>
  <c r="D19" i="19"/>
  <c r="E19" i="19" s="1"/>
  <c r="F19" i="19" s="1"/>
  <c r="C18" i="21" l="1"/>
  <c r="H69" i="15"/>
  <c r="E17" i="21"/>
  <c r="I47" i="15" s="1"/>
  <c r="I136" i="15" s="1"/>
  <c r="H47" i="15"/>
  <c r="H136" i="15" s="1"/>
  <c r="D20" i="19"/>
  <c r="E20" i="19" s="1"/>
  <c r="F20" i="19" s="1"/>
  <c r="I69" i="15" l="1"/>
  <c r="E18" i="21"/>
  <c r="J47" i="15" s="1"/>
  <c r="J136" i="15" s="1"/>
  <c r="C19" i="21"/>
  <c r="D21" i="19"/>
  <c r="J69" i="15" l="1"/>
  <c r="E19" i="21"/>
  <c r="C21" i="21"/>
  <c r="E21" i="19"/>
  <c r="F21" i="19" s="1"/>
  <c r="K47" i="15" l="1"/>
  <c r="K136" i="15" s="1"/>
  <c r="E21" i="21"/>
  <c r="D22" i="19"/>
  <c r="E22" i="19" s="1"/>
  <c r="F22" i="19" s="1"/>
  <c r="D23" i="19" l="1"/>
  <c r="E23" i="19" s="1"/>
  <c r="F23" i="19" s="1"/>
  <c r="D24" i="19" l="1"/>
  <c r="E24" i="19" s="1"/>
  <c r="F24" i="19" s="1"/>
  <c r="D25" i="19" l="1"/>
  <c r="E25" i="19" s="1"/>
  <c r="F25" i="19" s="1"/>
  <c r="D26" i="19" l="1"/>
  <c r="E26" i="19" s="1"/>
  <c r="F26" i="19" s="1"/>
  <c r="D27" i="19" l="1"/>
  <c r="E27" i="19" s="1"/>
  <c r="F27" i="19" s="1"/>
  <c r="D28" i="19" l="1"/>
  <c r="E28" i="19" s="1"/>
  <c r="F28" i="19" s="1"/>
  <c r="D29" i="19" l="1"/>
  <c r="E29" i="19" l="1"/>
  <c r="F29" i="19" s="1"/>
  <c r="I29" i="19"/>
  <c r="D30" i="19" l="1"/>
  <c r="E30" i="19" l="1"/>
  <c r="F30" i="19" s="1"/>
  <c r="D31" i="19" l="1"/>
  <c r="E31" i="19" l="1"/>
  <c r="F31" i="19" s="1"/>
  <c r="D32" i="19" l="1"/>
  <c r="E32" i="19" l="1"/>
  <c r="F32" i="19" s="1"/>
  <c r="D33" i="19" l="1"/>
  <c r="E33" i="19" l="1"/>
  <c r="F33" i="19" s="1"/>
  <c r="D34" i="19" l="1"/>
  <c r="E34" i="19" l="1"/>
  <c r="F34" i="19" s="1"/>
  <c r="D35" i="19" l="1"/>
  <c r="E35" i="19" s="1"/>
  <c r="F35" i="19" s="1"/>
  <c r="D36" i="19" l="1"/>
  <c r="E36" i="19" s="1"/>
  <c r="F36" i="19" s="1"/>
  <c r="D37" i="19" l="1"/>
  <c r="E37" i="19" s="1"/>
  <c r="F37" i="19" s="1"/>
  <c r="D38" i="19" l="1"/>
  <c r="E38" i="19" s="1"/>
  <c r="F38" i="19" s="1"/>
  <c r="D39" i="19" l="1"/>
  <c r="E39" i="19" s="1"/>
  <c r="F39" i="19" s="1"/>
  <c r="D40" i="19" l="1"/>
  <c r="E40" i="19" s="1"/>
  <c r="F40" i="19" s="1"/>
  <c r="D41" i="19" l="1"/>
  <c r="E41" i="19" l="1"/>
  <c r="F41" i="19" s="1"/>
  <c r="I41" i="19"/>
  <c r="C136" i="15" s="1"/>
  <c r="D42" i="19" l="1"/>
  <c r="E42" i="19" l="1"/>
  <c r="F42" i="19" s="1"/>
  <c r="D43" i="19" l="1"/>
  <c r="E43" i="19" l="1"/>
  <c r="F43" i="19" s="1"/>
  <c r="D44" i="19" l="1"/>
  <c r="E44" i="19" l="1"/>
  <c r="F44" i="19" s="1"/>
  <c r="D45" i="19" l="1"/>
  <c r="E45" i="19" l="1"/>
  <c r="F45" i="19" s="1"/>
  <c r="D46" i="19" l="1"/>
  <c r="E46" i="19" l="1"/>
  <c r="F46" i="19" s="1"/>
  <c r="D47" i="19" l="1"/>
  <c r="E47" i="19" s="1"/>
  <c r="F47" i="19" s="1"/>
  <c r="D48" i="19" l="1"/>
  <c r="E48" i="19" s="1"/>
  <c r="F48" i="19" s="1"/>
  <c r="D49" i="19" l="1"/>
  <c r="E49" i="19" s="1"/>
  <c r="F49" i="19" s="1"/>
  <c r="D50" i="19" l="1"/>
  <c r="E50" i="19" s="1"/>
  <c r="F50" i="19" s="1"/>
  <c r="D51" i="19" l="1"/>
  <c r="E51" i="19" s="1"/>
  <c r="F51" i="19" s="1"/>
  <c r="D52" i="19" l="1"/>
  <c r="E52" i="19" s="1"/>
  <c r="F52" i="19" s="1"/>
  <c r="D53" i="19" l="1"/>
  <c r="I53" i="19" s="1"/>
  <c r="D136" i="15" s="1"/>
  <c r="E53" i="19" l="1"/>
  <c r="F53" i="19" s="1"/>
  <c r="D54" i="19" l="1"/>
  <c r="E54" i="19" l="1"/>
  <c r="F54" i="19" s="1"/>
  <c r="D55" i="19" l="1"/>
  <c r="E55" i="19" l="1"/>
  <c r="F55" i="19" s="1"/>
  <c r="D56" i="19" l="1"/>
  <c r="E56" i="19" l="1"/>
  <c r="F56" i="19" s="1"/>
  <c r="D57" i="19" l="1"/>
  <c r="E57" i="19" l="1"/>
  <c r="F57" i="19" s="1"/>
  <c r="D58" i="19" l="1"/>
  <c r="E58" i="19" l="1"/>
  <c r="F58" i="19" s="1"/>
  <c r="D59" i="19" l="1"/>
  <c r="E59" i="19" s="1"/>
  <c r="F59" i="19" s="1"/>
  <c r="D60" i="19" l="1"/>
  <c r="E60" i="19" s="1"/>
  <c r="F60" i="19" s="1"/>
  <c r="D61" i="19" l="1"/>
  <c r="E61" i="19" s="1"/>
  <c r="F61" i="19" s="1"/>
  <c r="D62" i="19" l="1"/>
  <c r="E62" i="19" s="1"/>
  <c r="F62" i="19" s="1"/>
  <c r="D63" i="19" l="1"/>
  <c r="E63" i="19" s="1"/>
  <c r="F63" i="19" s="1"/>
  <c r="D64" i="19" l="1"/>
  <c r="E64" i="19" s="1"/>
  <c r="F64" i="19" s="1"/>
  <c r="D65" i="19" l="1"/>
  <c r="E65" i="19" l="1"/>
  <c r="F65" i="19" s="1"/>
  <c r="I65" i="19"/>
  <c r="E136" i="15" s="1"/>
  <c r="D66" i="19" l="1"/>
  <c r="E66" i="19" l="1"/>
  <c r="F66" i="19" s="1"/>
  <c r="D67" i="19" l="1"/>
  <c r="E67" i="19" l="1"/>
  <c r="F67" i="19" s="1"/>
  <c r="D68" i="19" l="1"/>
  <c r="E68" i="19" l="1"/>
  <c r="F68" i="19" s="1"/>
  <c r="D69" i="19" l="1"/>
  <c r="E69" i="19" l="1"/>
  <c r="F69" i="19" s="1"/>
  <c r="D70" i="19" l="1"/>
  <c r="E70" i="19" l="1"/>
  <c r="F70" i="19" s="1"/>
  <c r="D71" i="19" l="1"/>
  <c r="E71" i="19" s="1"/>
  <c r="F71" i="19" s="1"/>
  <c r="D72" i="19" l="1"/>
  <c r="E72" i="19" s="1"/>
  <c r="F72" i="19" s="1"/>
  <c r="D73" i="19" l="1"/>
  <c r="E73" i="19" s="1"/>
  <c r="F73" i="19" s="1"/>
  <c r="D74" i="19" l="1"/>
  <c r="E74" i="19" s="1"/>
  <c r="F74" i="19" s="1"/>
  <c r="D75" i="19" l="1"/>
  <c r="E75" i="19" s="1"/>
  <c r="F75" i="19" s="1"/>
  <c r="D76" i="19" l="1"/>
  <c r="E76" i="19" s="1"/>
  <c r="F76" i="19" s="1"/>
  <c r="D77" i="19" l="1"/>
  <c r="E77" i="19" l="1"/>
  <c r="F77" i="19" s="1"/>
  <c r="I77" i="19"/>
  <c r="F136" i="15" s="1"/>
  <c r="F152" i="15" l="1"/>
  <c r="F162" i="15" s="1"/>
  <c r="F195" i="15" s="1"/>
  <c r="F204" i="15" s="1"/>
  <c r="F213" i="15" s="1"/>
  <c r="F222" i="15" s="1"/>
  <c r="E152" i="15"/>
  <c r="E162" i="15" s="1"/>
  <c r="E195" i="15" s="1"/>
  <c r="E204" i="15" s="1"/>
  <c r="E213" i="15" s="1"/>
  <c r="E222" i="15" s="1"/>
  <c r="D152" i="15"/>
  <c r="D162" i="15" s="1"/>
  <c r="D195" i="15" s="1"/>
  <c r="D204" i="15" s="1"/>
  <c r="D213" i="15" s="1"/>
  <c r="D222" i="15" s="1"/>
  <c r="C152" i="15"/>
  <c r="C162" i="15" s="1"/>
  <c r="C195" i="15" s="1"/>
  <c r="C204" i="15" s="1"/>
  <c r="C213" i="15" s="1"/>
  <c r="C222" i="15" s="1"/>
  <c r="B152" i="15"/>
  <c r="B162" i="15" s="1"/>
  <c r="B195" i="15" s="1"/>
  <c r="B204" i="15" s="1"/>
  <c r="B213" i="15" s="1"/>
  <c r="B222" i="15" s="1"/>
  <c r="B194" i="15"/>
  <c r="B203" i="15" s="1"/>
  <c r="B212" i="15" s="1"/>
  <c r="F17" i="20"/>
  <c r="D8" i="20"/>
  <c r="C126" i="20" s="1"/>
  <c r="C194" i="15" l="1"/>
  <c r="C203" i="15" s="1"/>
  <c r="C212" i="15" s="1"/>
  <c r="D194" i="15"/>
  <c r="D203" i="15" s="1"/>
  <c r="D212" i="15" s="1"/>
  <c r="E194" i="15"/>
  <c r="E203" i="15" s="1"/>
  <c r="E212" i="15" s="1"/>
  <c r="F194" i="15"/>
  <c r="F203" i="15" s="1"/>
  <c r="F212" i="15" s="1"/>
  <c r="D126" i="20"/>
  <c r="C127" i="20"/>
  <c r="D12" i="20"/>
  <c r="D18" i="20"/>
  <c r="B164" i="15"/>
  <c r="B116" i="15" l="1"/>
  <c r="B165" i="15"/>
  <c r="D127" i="20"/>
  <c r="C128" i="20"/>
  <c r="C101" i="20"/>
  <c r="C99" i="20"/>
  <c r="C97" i="20"/>
  <c r="C95" i="20"/>
  <c r="C93" i="20"/>
  <c r="C91" i="20"/>
  <c r="C89" i="20"/>
  <c r="C87" i="20"/>
  <c r="C85" i="20"/>
  <c r="C83" i="20"/>
  <c r="C81" i="20"/>
  <c r="C79" i="20"/>
  <c r="C77" i="20"/>
  <c r="C76" i="20"/>
  <c r="C75" i="20"/>
  <c r="C74" i="20"/>
  <c r="C73" i="20"/>
  <c r="C72" i="20"/>
  <c r="C71" i="20"/>
  <c r="C70" i="20"/>
  <c r="C69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100" i="20"/>
  <c r="C98" i="20"/>
  <c r="C96" i="20"/>
  <c r="C94" i="20"/>
  <c r="C92" i="20"/>
  <c r="C90" i="20"/>
  <c r="C88" i="20"/>
  <c r="C86" i="20"/>
  <c r="C84" i="20"/>
  <c r="C82" i="20"/>
  <c r="C80" i="20"/>
  <c r="C78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20" i="20"/>
  <c r="C19" i="20"/>
  <c r="C18" i="20"/>
  <c r="E18" i="20" s="1"/>
  <c r="F18" i="20" s="1"/>
  <c r="B122" i="15"/>
  <c r="C124" i="15" l="1"/>
  <c r="D19" i="20"/>
  <c r="E19" i="20" s="1"/>
  <c r="F19" i="20" s="1"/>
  <c r="D128" i="20"/>
  <c r="C129" i="20"/>
  <c r="D20" i="20" l="1"/>
  <c r="E20" i="20" s="1"/>
  <c r="F20" i="20" s="1"/>
  <c r="D129" i="20"/>
  <c r="C130" i="20"/>
  <c r="I20" i="20" l="1"/>
  <c r="D21" i="20"/>
  <c r="D130" i="20"/>
  <c r="C131" i="20"/>
  <c r="D131" i="20" l="1"/>
  <c r="C132" i="20"/>
  <c r="E21" i="20"/>
  <c r="F21" i="20" s="1"/>
  <c r="B136" i="15"/>
  <c r="D22" i="20" l="1"/>
  <c r="D132" i="20"/>
  <c r="C133" i="20"/>
  <c r="D133" i="20" l="1"/>
  <c r="C134" i="20"/>
  <c r="E22" i="20"/>
  <c r="F22" i="20" s="1"/>
  <c r="D134" i="20" l="1"/>
  <c r="C135" i="20"/>
  <c r="D23" i="20"/>
  <c r="E23" i="20" l="1"/>
  <c r="F23" i="20" s="1"/>
  <c r="D135" i="20"/>
  <c r="C136" i="20"/>
  <c r="D24" i="20" l="1"/>
  <c r="D136" i="20"/>
  <c r="C137" i="20"/>
  <c r="E24" i="20" l="1"/>
  <c r="F24" i="20" s="1"/>
  <c r="D137" i="20"/>
  <c r="C138" i="20"/>
  <c r="D138" i="20" l="1"/>
  <c r="C139" i="20"/>
  <c r="D25" i="20"/>
  <c r="E25" i="20" l="1"/>
  <c r="F25" i="20" s="1"/>
  <c r="D139" i="20"/>
  <c r="C140" i="20"/>
  <c r="D26" i="20" l="1"/>
  <c r="E26" i="20" s="1"/>
  <c r="F26" i="20" s="1"/>
  <c r="D140" i="20"/>
  <c r="C141" i="20"/>
  <c r="D27" i="20" l="1"/>
  <c r="E27" i="20" s="1"/>
  <c r="F27" i="20" s="1"/>
  <c r="D141" i="20"/>
  <c r="C142" i="20"/>
  <c r="D28" i="20" l="1"/>
  <c r="E28" i="20" s="1"/>
  <c r="F28" i="20" s="1"/>
  <c r="D142" i="20"/>
  <c r="C143" i="20"/>
  <c r="D29" i="20" l="1"/>
  <c r="E29" i="20" s="1"/>
  <c r="F29" i="20" s="1"/>
  <c r="D143" i="20"/>
  <c r="C144" i="20"/>
  <c r="D30" i="20" l="1"/>
  <c r="E30" i="20" s="1"/>
  <c r="F30" i="20" s="1"/>
  <c r="D144" i="20"/>
  <c r="C145" i="20"/>
  <c r="D31" i="20" l="1"/>
  <c r="E31" i="20" s="1"/>
  <c r="F31" i="20" s="1"/>
  <c r="D145" i="20"/>
  <c r="C146" i="20"/>
  <c r="D32" i="20" l="1"/>
  <c r="D146" i="20"/>
  <c r="C147" i="20"/>
  <c r="E32" i="20" l="1"/>
  <c r="F32" i="20" s="1"/>
  <c r="I32" i="20"/>
  <c r="D147" i="20"/>
  <c r="C148" i="20"/>
  <c r="D148" i="20" l="1"/>
  <c r="C149" i="20"/>
  <c r="D33" i="20"/>
  <c r="D149" i="20" l="1"/>
  <c r="C150" i="20"/>
  <c r="E33" i="20"/>
  <c r="F33" i="20" s="1"/>
  <c r="D34" i="20" l="1"/>
  <c r="D150" i="20"/>
  <c r="C151" i="20"/>
  <c r="D151" i="20" l="1"/>
  <c r="C152" i="20"/>
  <c r="E34" i="20"/>
  <c r="F34" i="20" s="1"/>
  <c r="D35" i="20" l="1"/>
  <c r="D152" i="20"/>
  <c r="C153" i="20"/>
  <c r="D153" i="20" l="1"/>
  <c r="C154" i="20"/>
  <c r="E35" i="20"/>
  <c r="F35" i="20" s="1"/>
  <c r="D36" i="20" l="1"/>
  <c r="D154" i="20"/>
  <c r="C155" i="20"/>
  <c r="D155" i="20" l="1"/>
  <c r="C156" i="20"/>
  <c r="E36" i="20"/>
  <c r="F36" i="20" s="1"/>
  <c r="D37" i="20" l="1"/>
  <c r="D156" i="20"/>
  <c r="C157" i="20"/>
  <c r="D157" i="20" l="1"/>
  <c r="C158" i="20"/>
  <c r="E37" i="20"/>
  <c r="F37" i="20" s="1"/>
  <c r="D38" i="20" l="1"/>
  <c r="E38" i="20" s="1"/>
  <c r="F38" i="20" s="1"/>
  <c r="D158" i="20"/>
  <c r="C159" i="20"/>
  <c r="D39" i="20" l="1"/>
  <c r="E39" i="20" s="1"/>
  <c r="F39" i="20" s="1"/>
  <c r="D159" i="20"/>
  <c r="C160" i="20"/>
  <c r="D40" i="20" l="1"/>
  <c r="E40" i="20" s="1"/>
  <c r="F40" i="20" s="1"/>
  <c r="D160" i="20"/>
  <c r="C161" i="20"/>
  <c r="D161" i="20" s="1"/>
  <c r="D162" i="20" s="1"/>
  <c r="D41" i="20" l="1"/>
  <c r="E41" i="20" s="1"/>
  <c r="F41" i="20" s="1"/>
  <c r="D42" i="20" l="1"/>
  <c r="E42" i="20" s="1"/>
  <c r="F42" i="20" s="1"/>
  <c r="D43" i="20" l="1"/>
  <c r="E43" i="20" s="1"/>
  <c r="F43" i="20" s="1"/>
  <c r="D44" i="20" l="1"/>
  <c r="E44" i="20" l="1"/>
  <c r="F44" i="20" s="1"/>
  <c r="I44" i="20"/>
  <c r="D45" i="20" l="1"/>
  <c r="E45" i="20" l="1"/>
  <c r="F45" i="20" s="1"/>
  <c r="D46" i="20" l="1"/>
  <c r="E46" i="20" l="1"/>
  <c r="F46" i="20" s="1"/>
  <c r="D47" i="20" l="1"/>
  <c r="E47" i="20" l="1"/>
  <c r="F47" i="20" s="1"/>
  <c r="D48" i="20" l="1"/>
  <c r="E48" i="20" l="1"/>
  <c r="F48" i="20" s="1"/>
  <c r="D49" i="20" l="1"/>
  <c r="E49" i="20" l="1"/>
  <c r="F49" i="20" s="1"/>
  <c r="D50" i="20" l="1"/>
  <c r="E50" i="20" s="1"/>
  <c r="F50" i="20" s="1"/>
  <c r="D51" i="20" l="1"/>
  <c r="E51" i="20" s="1"/>
  <c r="F51" i="20" s="1"/>
  <c r="D52" i="20" l="1"/>
  <c r="E52" i="20" s="1"/>
  <c r="F52" i="20" s="1"/>
  <c r="D53" i="20" l="1"/>
  <c r="E53" i="20" s="1"/>
  <c r="F53" i="20" s="1"/>
  <c r="D54" i="20" l="1"/>
  <c r="E54" i="20" s="1"/>
  <c r="F54" i="20" s="1"/>
  <c r="D55" i="20" l="1"/>
  <c r="E55" i="20" s="1"/>
  <c r="F55" i="20" s="1"/>
  <c r="D56" i="20" l="1"/>
  <c r="E56" i="20" l="1"/>
  <c r="F56" i="20" s="1"/>
  <c r="I56" i="20"/>
  <c r="D57" i="20" l="1"/>
  <c r="E57" i="20" l="1"/>
  <c r="F57" i="20" s="1"/>
  <c r="D58" i="20" l="1"/>
  <c r="E58" i="20" l="1"/>
  <c r="F58" i="20" s="1"/>
  <c r="D59" i="20" l="1"/>
  <c r="E59" i="20" l="1"/>
  <c r="F59" i="20" s="1"/>
  <c r="D60" i="20" l="1"/>
  <c r="E60" i="20" l="1"/>
  <c r="F60" i="20" s="1"/>
  <c r="D61" i="20" l="1"/>
  <c r="E61" i="20" l="1"/>
  <c r="F61" i="20" s="1"/>
  <c r="D62" i="20" l="1"/>
  <c r="E62" i="20" s="1"/>
  <c r="F62" i="20" s="1"/>
  <c r="D63" i="20" l="1"/>
  <c r="E63" i="20" s="1"/>
  <c r="F63" i="20" s="1"/>
  <c r="D64" i="20" l="1"/>
  <c r="E64" i="20" s="1"/>
  <c r="F64" i="20" s="1"/>
  <c r="D65" i="20" l="1"/>
  <c r="E65" i="20" s="1"/>
  <c r="F65" i="20" s="1"/>
  <c r="D66" i="20" l="1"/>
  <c r="E66" i="20" s="1"/>
  <c r="F66" i="20" s="1"/>
  <c r="D67" i="20" l="1"/>
  <c r="E67" i="20" s="1"/>
  <c r="F67" i="20" s="1"/>
  <c r="D68" i="20" l="1"/>
  <c r="E68" i="20" l="1"/>
  <c r="F68" i="20" s="1"/>
  <c r="I68" i="20"/>
  <c r="D69" i="20" l="1"/>
  <c r="E69" i="20" l="1"/>
  <c r="F69" i="20" s="1"/>
  <c r="D70" i="20" l="1"/>
  <c r="E70" i="20" l="1"/>
  <c r="F70" i="20" s="1"/>
  <c r="D71" i="20" l="1"/>
  <c r="E71" i="20" l="1"/>
  <c r="F71" i="20" s="1"/>
  <c r="D72" i="20" l="1"/>
  <c r="E72" i="20" l="1"/>
  <c r="F72" i="20" s="1"/>
  <c r="D73" i="20" l="1"/>
  <c r="E73" i="20" l="1"/>
  <c r="F73" i="20" s="1"/>
  <c r="D74" i="20" l="1"/>
  <c r="E74" i="20" s="1"/>
  <c r="F74" i="20" s="1"/>
  <c r="D75" i="20" l="1"/>
  <c r="E75" i="20" s="1"/>
  <c r="F75" i="20" s="1"/>
  <c r="D76" i="20" l="1"/>
  <c r="E76" i="20" s="1"/>
  <c r="F76" i="20" s="1"/>
  <c r="C36" i="15"/>
  <c r="D122" i="15"/>
  <c r="D124" i="15" s="1"/>
  <c r="D22" i="16"/>
  <c r="E22" i="16" s="1"/>
  <c r="F22" i="16" s="1"/>
  <c r="G22" i="16" s="1"/>
  <c r="H22" i="16" s="1"/>
  <c r="I22" i="16" s="1"/>
  <c r="J22" i="16" s="1"/>
  <c r="K22" i="16" s="1"/>
  <c r="L22" i="16" s="1"/>
  <c r="D19" i="16"/>
  <c r="D17" i="16"/>
  <c r="E17" i="16" s="1"/>
  <c r="F17" i="16" s="1"/>
  <c r="G17" i="16" s="1"/>
  <c r="H17" i="16" s="1"/>
  <c r="I17" i="16" s="1"/>
  <c r="J17" i="16" s="1"/>
  <c r="K17" i="16" s="1"/>
  <c r="L17" i="16" s="1"/>
  <c r="F224" i="15"/>
  <c r="E224" i="15"/>
  <c r="D224" i="15"/>
  <c r="C224" i="15"/>
  <c r="B224" i="15"/>
  <c r="C156" i="15" l="1"/>
  <c r="D166" i="15"/>
  <c r="D164" i="15"/>
  <c r="D165" i="15" s="1"/>
  <c r="C116" i="15"/>
  <c r="E33" i="15"/>
  <c r="D77" i="20"/>
  <c r="C167" i="15"/>
  <c r="C114" i="15" s="1"/>
  <c r="C92" i="15"/>
  <c r="B166" i="15"/>
  <c r="B167" i="15" s="1"/>
  <c r="B114" i="15" s="1"/>
  <c r="B223" i="15"/>
  <c r="B225" i="15" s="1"/>
  <c r="B216" i="15"/>
  <c r="B207" i="15"/>
  <c r="B198" i="15"/>
  <c r="B189" i="15"/>
  <c r="D156" i="15" l="1"/>
  <c r="D167" i="15"/>
  <c r="D114" i="15" s="1"/>
  <c r="D116" i="15"/>
  <c r="B190" i="15"/>
  <c r="B191" i="15" s="1"/>
  <c r="C187" i="15" s="1"/>
  <c r="B208" i="15"/>
  <c r="B209" i="15" s="1"/>
  <c r="C205" i="15" s="1"/>
  <c r="B200" i="15"/>
  <c r="C196" i="15" s="1"/>
  <c r="B217" i="15"/>
  <c r="B218" i="15" s="1"/>
  <c r="C214" i="15" s="1"/>
  <c r="F33" i="15"/>
  <c r="E77" i="20"/>
  <c r="F77" i="20" s="1"/>
  <c r="I77" i="20"/>
  <c r="C17" i="15"/>
  <c r="F17" i="15"/>
  <c r="E17" i="15"/>
  <c r="D17" i="15"/>
  <c r="D20" i="16"/>
  <c r="E20" i="16" s="1"/>
  <c r="F20" i="16" s="1"/>
  <c r="G20" i="16" s="1"/>
  <c r="H20" i="16" s="1"/>
  <c r="I20" i="16" s="1"/>
  <c r="J20" i="16" s="1"/>
  <c r="K20" i="16" s="1"/>
  <c r="L20" i="16" s="1"/>
  <c r="D18" i="16"/>
  <c r="E18" i="16" s="1"/>
  <c r="F18" i="16" s="1"/>
  <c r="G18" i="16" s="1"/>
  <c r="H18" i="16" s="1"/>
  <c r="I18" i="16" s="1"/>
  <c r="J18" i="16" s="1"/>
  <c r="K18" i="16" s="1"/>
  <c r="L18" i="16" s="1"/>
  <c r="D16" i="16"/>
  <c r="E16" i="16" s="1"/>
  <c r="F16" i="16" s="1"/>
  <c r="G16" i="16" s="1"/>
  <c r="H16" i="16" s="1"/>
  <c r="I16" i="16" s="1"/>
  <c r="J16" i="16" s="1"/>
  <c r="K16" i="16" s="1"/>
  <c r="L16" i="16" s="1"/>
  <c r="B23" i="16"/>
  <c r="B44" i="15" s="1"/>
  <c r="E19" i="16"/>
  <c r="F19" i="16" s="1"/>
  <c r="G19" i="16" s="1"/>
  <c r="H19" i="16" s="1"/>
  <c r="I19" i="16" s="1"/>
  <c r="J19" i="16" s="1"/>
  <c r="K19" i="16" s="1"/>
  <c r="L19" i="16" s="1"/>
  <c r="D9" i="16"/>
  <c r="E9" i="16" s="1"/>
  <c r="F9" i="16" s="1"/>
  <c r="G9" i="16" s="1"/>
  <c r="B83" i="15"/>
  <c r="B87" i="15" s="1"/>
  <c r="E122" i="15"/>
  <c r="E124" i="15" s="1"/>
  <c r="B10" i="15"/>
  <c r="B12" i="15" s="1"/>
  <c r="B13" i="15" s="1"/>
  <c r="F32" i="15" l="1"/>
  <c r="F122" i="15" s="1"/>
  <c r="F124" i="15" s="1"/>
  <c r="E166" i="15"/>
  <c r="E164" i="15"/>
  <c r="E165" i="15" s="1"/>
  <c r="H9" i="16"/>
  <c r="G33" i="15"/>
  <c r="C217" i="15"/>
  <c r="C216" i="15"/>
  <c r="C198" i="15"/>
  <c r="C199" i="15"/>
  <c r="C207" i="15"/>
  <c r="C208" i="15"/>
  <c r="C190" i="15"/>
  <c r="C189" i="15"/>
  <c r="C223" i="15"/>
  <c r="C225" i="15" s="1"/>
  <c r="E92" i="15"/>
  <c r="B226" i="15"/>
  <c r="E83" i="15"/>
  <c r="C23" i="16"/>
  <c r="C44" i="15" s="1"/>
  <c r="D154" i="15"/>
  <c r="D155" i="15" s="1"/>
  <c r="D157" i="15" s="1"/>
  <c r="D118" i="15" s="1"/>
  <c r="D92" i="15"/>
  <c r="D12" i="16"/>
  <c r="E12" i="16" s="1"/>
  <c r="F12" i="16" s="1"/>
  <c r="G12" i="16" s="1"/>
  <c r="H12" i="16" s="1"/>
  <c r="I12" i="16" s="1"/>
  <c r="J12" i="16" s="1"/>
  <c r="K12" i="16" s="1"/>
  <c r="L12" i="16" s="1"/>
  <c r="B34" i="15"/>
  <c r="C34" i="15"/>
  <c r="D83" i="15"/>
  <c r="C226" i="15" l="1"/>
  <c r="C49" i="15" s="1"/>
  <c r="C132" i="15" s="1"/>
  <c r="C218" i="15"/>
  <c r="D214" i="15" s="1"/>
  <c r="E156" i="15"/>
  <c r="C191" i="15"/>
  <c r="D187" i="15" s="1"/>
  <c r="D189" i="15" s="1"/>
  <c r="D190" i="15" s="1"/>
  <c r="D191" i="15" s="1"/>
  <c r="E187" i="15" s="1"/>
  <c r="E189" i="15" s="1"/>
  <c r="E190" i="15" s="1"/>
  <c r="E191" i="15" s="1"/>
  <c r="F187" i="15" s="1"/>
  <c r="F189" i="15" s="1"/>
  <c r="F190" i="15" s="1"/>
  <c r="F191" i="15" s="1"/>
  <c r="G187" i="15" s="1"/>
  <c r="C200" i="15"/>
  <c r="D196" i="15" s="1"/>
  <c r="D198" i="15" s="1"/>
  <c r="D199" i="15" s="1"/>
  <c r="C209" i="15"/>
  <c r="D205" i="15" s="1"/>
  <c r="D207" i="15" s="1"/>
  <c r="D208" i="15" s="1"/>
  <c r="D209" i="15" s="1"/>
  <c r="E205" i="15" s="1"/>
  <c r="E207" i="15" s="1"/>
  <c r="E208" i="15" s="1"/>
  <c r="E209" i="15" s="1"/>
  <c r="F205" i="15" s="1"/>
  <c r="F207" i="15" s="1"/>
  <c r="F208" i="15" s="1"/>
  <c r="F209" i="15" s="1"/>
  <c r="G205" i="15" s="1"/>
  <c r="G207" i="15" s="1"/>
  <c r="G23" i="16"/>
  <c r="G44" i="15" s="1"/>
  <c r="G83" i="15"/>
  <c r="I9" i="16"/>
  <c r="H23" i="16"/>
  <c r="H44" i="15" s="1"/>
  <c r="G32" i="15"/>
  <c r="F164" i="15"/>
  <c r="F165" i="15" s="1"/>
  <c r="F166" i="15"/>
  <c r="H33" i="15"/>
  <c r="B156" i="15"/>
  <c r="B94" i="15"/>
  <c r="E116" i="15"/>
  <c r="B49" i="15"/>
  <c r="B132" i="15" s="1"/>
  <c r="B227" i="15"/>
  <c r="B78" i="15" s="1"/>
  <c r="E23" i="16"/>
  <c r="E44" i="15" s="1"/>
  <c r="E167" i="15"/>
  <c r="E114" i="15" s="1"/>
  <c r="E154" i="15"/>
  <c r="E155" i="15" s="1"/>
  <c r="D23" i="16"/>
  <c r="D44" i="15" s="1"/>
  <c r="D216" i="15"/>
  <c r="D217" i="15" s="1"/>
  <c r="D34" i="15"/>
  <c r="C154" i="15"/>
  <c r="C155" i="15" s="1"/>
  <c r="C157" i="15" s="1"/>
  <c r="C118" i="15" s="1"/>
  <c r="C38" i="15"/>
  <c r="C40" i="15" s="1"/>
  <c r="E38" i="15"/>
  <c r="C8" i="15"/>
  <c r="C83" i="15"/>
  <c r="D38" i="15"/>
  <c r="E34" i="15"/>
  <c r="G122" i="15" l="1"/>
  <c r="G124" i="15" s="1"/>
  <c r="H32" i="15"/>
  <c r="I32" i="15" s="1"/>
  <c r="J32" i="15" s="1"/>
  <c r="K32" i="15" s="1"/>
  <c r="C227" i="15"/>
  <c r="C78" i="15" s="1"/>
  <c r="D223" i="15"/>
  <c r="D225" i="15" s="1"/>
  <c r="D200" i="15"/>
  <c r="E196" i="15" s="1"/>
  <c r="E198" i="15" s="1"/>
  <c r="E199" i="15" s="1"/>
  <c r="G34" i="15"/>
  <c r="E157" i="15"/>
  <c r="E118" i="15" s="1"/>
  <c r="F156" i="15"/>
  <c r="G208" i="15"/>
  <c r="G209" i="15" s="1"/>
  <c r="H205" i="15" s="1"/>
  <c r="H207" i="15" s="1"/>
  <c r="H208" i="15" s="1"/>
  <c r="H209" i="15" s="1"/>
  <c r="I205" i="15" s="1"/>
  <c r="I207" i="15" s="1"/>
  <c r="G164" i="15"/>
  <c r="G166" i="15"/>
  <c r="H122" i="15"/>
  <c r="H124" i="15" s="1"/>
  <c r="B96" i="15"/>
  <c r="B99" i="15" s="1"/>
  <c r="B110" i="15"/>
  <c r="J9" i="16"/>
  <c r="I23" i="16"/>
  <c r="I44" i="15" s="1"/>
  <c r="H83" i="15"/>
  <c r="G189" i="15"/>
  <c r="I33" i="15"/>
  <c r="F92" i="15"/>
  <c r="D226" i="15"/>
  <c r="D49" i="15" s="1"/>
  <c r="D132" i="15" s="1"/>
  <c r="F167" i="15"/>
  <c r="F114" i="15" s="1"/>
  <c r="F116" i="15"/>
  <c r="C41" i="15"/>
  <c r="C126" i="15"/>
  <c r="B154" i="15"/>
  <c r="B155" i="15" s="1"/>
  <c r="B157" i="15" s="1"/>
  <c r="B118" i="15" s="1"/>
  <c r="B38" i="15"/>
  <c r="B40" i="15" s="1"/>
  <c r="B126" i="15" s="1"/>
  <c r="E40" i="15"/>
  <c r="F38" i="15"/>
  <c r="F154" i="15"/>
  <c r="F155" i="15" s="1"/>
  <c r="F23" i="16"/>
  <c r="F44" i="15" s="1"/>
  <c r="D40" i="15"/>
  <c r="E200" i="15"/>
  <c r="F196" i="15" s="1"/>
  <c r="F198" i="15" s="1"/>
  <c r="F199" i="15" s="1"/>
  <c r="C46" i="15"/>
  <c r="C48" i="15" s="1"/>
  <c r="C50" i="15" s="1"/>
  <c r="C51" i="15" s="1"/>
  <c r="F83" i="15"/>
  <c r="F34" i="15"/>
  <c r="D218" i="15"/>
  <c r="E214" i="15" s="1"/>
  <c r="H34" i="15" l="1"/>
  <c r="G92" i="15"/>
  <c r="D227" i="15"/>
  <c r="D78" i="15" s="1"/>
  <c r="F157" i="15"/>
  <c r="F118" i="15" s="1"/>
  <c r="C138" i="15"/>
  <c r="C130" i="15"/>
  <c r="C134" i="15" s="1"/>
  <c r="I208" i="15"/>
  <c r="I209" i="15" s="1"/>
  <c r="J205" i="15" s="1"/>
  <c r="J207" i="15" s="1"/>
  <c r="J208" i="15" s="1"/>
  <c r="J209" i="15" s="1"/>
  <c r="K205" i="15" s="1"/>
  <c r="K207" i="15" s="1"/>
  <c r="K208" i="15" s="1"/>
  <c r="K209" i="15" s="1"/>
  <c r="L205" i="15" s="1"/>
  <c r="I83" i="15"/>
  <c r="G154" i="15"/>
  <c r="G155" i="15" s="1"/>
  <c r="G156" i="15"/>
  <c r="G38" i="15"/>
  <c r="G40" i="15" s="1"/>
  <c r="G126" i="15" s="1"/>
  <c r="G116" i="15"/>
  <c r="G165" i="15"/>
  <c r="G190" i="15"/>
  <c r="G191" i="15" s="1"/>
  <c r="H187" i="15" s="1"/>
  <c r="H166" i="15"/>
  <c r="H164" i="15"/>
  <c r="I122" i="15"/>
  <c r="I124" i="15" s="1"/>
  <c r="K9" i="16"/>
  <c r="J23" i="16"/>
  <c r="J44" i="15" s="1"/>
  <c r="G167" i="15"/>
  <c r="G114" i="15" s="1"/>
  <c r="J33" i="15"/>
  <c r="E41" i="15"/>
  <c r="E126" i="15"/>
  <c r="D41" i="15"/>
  <c r="D126" i="15"/>
  <c r="E46" i="15"/>
  <c r="E48" i="15" s="1"/>
  <c r="F40" i="15"/>
  <c r="F126" i="15" s="1"/>
  <c r="B46" i="15"/>
  <c r="B48" i="15" s="1"/>
  <c r="B50" i="15" s="1"/>
  <c r="B41" i="15"/>
  <c r="D46" i="15"/>
  <c r="D48" i="15" s="1"/>
  <c r="D50" i="15" s="1"/>
  <c r="D51" i="15" s="1"/>
  <c r="F200" i="15"/>
  <c r="G196" i="15" s="1"/>
  <c r="E216" i="15"/>
  <c r="E217" i="15" s="1"/>
  <c r="E223" i="15"/>
  <c r="E225" i="15" s="1"/>
  <c r="L207" i="15" l="1"/>
  <c r="K23" i="16"/>
  <c r="K44" i="15" s="1"/>
  <c r="L9" i="16"/>
  <c r="L23" i="16" s="1"/>
  <c r="G157" i="15"/>
  <c r="G118" i="15" s="1"/>
  <c r="D87" i="15"/>
  <c r="D138" i="15"/>
  <c r="D130" i="15"/>
  <c r="D134" i="15" s="1"/>
  <c r="J83" i="15"/>
  <c r="H156" i="15"/>
  <c r="H154" i="15"/>
  <c r="H155" i="15" s="1"/>
  <c r="H38" i="15"/>
  <c r="H40" i="15" s="1"/>
  <c r="H126" i="15" s="1"/>
  <c r="H92" i="15"/>
  <c r="G41" i="15"/>
  <c r="G46" i="15"/>
  <c r="G48" i="15" s="1"/>
  <c r="B138" i="15"/>
  <c r="B52" i="15"/>
  <c r="I166" i="15"/>
  <c r="I164" i="15"/>
  <c r="J122" i="15"/>
  <c r="J124" i="15" s="1"/>
  <c r="H189" i="15"/>
  <c r="G198" i="15"/>
  <c r="I34" i="15"/>
  <c r="H116" i="15"/>
  <c r="H165" i="15"/>
  <c r="H167" i="15" s="1"/>
  <c r="H114" i="15" s="1"/>
  <c r="K33" i="15"/>
  <c r="F46" i="15"/>
  <c r="F48" i="15" s="1"/>
  <c r="F41" i="15"/>
  <c r="B130" i="15"/>
  <c r="B134" i="15" s="1"/>
  <c r="E226" i="15"/>
  <c r="C87" i="15"/>
  <c r="C52" i="15"/>
  <c r="C128" i="15" s="1"/>
  <c r="C91" i="15"/>
  <c r="C94" i="15" s="1"/>
  <c r="E218" i="15"/>
  <c r="F214" i="15" s="1"/>
  <c r="L208" i="15" l="1"/>
  <c r="L209" i="15"/>
  <c r="L33" i="15"/>
  <c r="J34" i="15"/>
  <c r="I92" i="15"/>
  <c r="I156" i="15"/>
  <c r="C110" i="15"/>
  <c r="J164" i="15"/>
  <c r="J166" i="15"/>
  <c r="H157" i="15"/>
  <c r="H118" i="15" s="1"/>
  <c r="G199" i="15"/>
  <c r="G200" i="15" s="1"/>
  <c r="H196" i="15" s="1"/>
  <c r="I154" i="15"/>
  <c r="I155" i="15" s="1"/>
  <c r="I38" i="15"/>
  <c r="I40" i="15" s="1"/>
  <c r="I126" i="15" s="1"/>
  <c r="I165" i="15"/>
  <c r="I167" i="15" s="1"/>
  <c r="I114" i="15" s="1"/>
  <c r="I116" i="15"/>
  <c r="H41" i="15"/>
  <c r="H46" i="15"/>
  <c r="H48" i="15" s="1"/>
  <c r="K83" i="15"/>
  <c r="H190" i="15"/>
  <c r="H191" i="15" s="1"/>
  <c r="I187" i="15" s="1"/>
  <c r="E49" i="15"/>
  <c r="E132" i="15" s="1"/>
  <c r="D52" i="15"/>
  <c r="D128" i="15" s="1"/>
  <c r="D91" i="15"/>
  <c r="D94" i="15" s="1"/>
  <c r="D96" i="15" s="1"/>
  <c r="D99" i="15" s="1"/>
  <c r="C11" i="13"/>
  <c r="C15" i="13" s="1"/>
  <c r="B128" i="15"/>
  <c r="E227" i="15"/>
  <c r="E78" i="15" s="1"/>
  <c r="C96" i="15"/>
  <c r="C99" i="15" s="1"/>
  <c r="F216" i="15"/>
  <c r="F217" i="15" s="1"/>
  <c r="F226" i="15" s="1"/>
  <c r="F223" i="15"/>
  <c r="F225" i="15" s="1"/>
  <c r="K122" i="15" l="1"/>
  <c r="K124" i="15" s="1"/>
  <c r="L83" i="15"/>
  <c r="L34" i="15"/>
  <c r="L37" i="15" s="1"/>
  <c r="K34" i="15"/>
  <c r="J92" i="15"/>
  <c r="I157" i="15"/>
  <c r="I118" i="15" s="1"/>
  <c r="I189" i="15"/>
  <c r="I41" i="15"/>
  <c r="I46" i="15"/>
  <c r="I48" i="15" s="1"/>
  <c r="E50" i="15"/>
  <c r="E51" i="15" s="1"/>
  <c r="J156" i="15"/>
  <c r="J154" i="15"/>
  <c r="J155" i="15" s="1"/>
  <c r="J38" i="15"/>
  <c r="J40" i="15" s="1"/>
  <c r="J126" i="15" s="1"/>
  <c r="J165" i="15"/>
  <c r="J167" i="15" s="1"/>
  <c r="J114" i="15" s="1"/>
  <c r="J116" i="15"/>
  <c r="H198" i="15"/>
  <c r="H199" i="15" s="1"/>
  <c r="H200" i="15" s="1"/>
  <c r="I196" i="15" s="1"/>
  <c r="I198" i="15" s="1"/>
  <c r="I199" i="15" s="1"/>
  <c r="I200" i="15" s="1"/>
  <c r="J196" i="15" s="1"/>
  <c r="J198" i="15" s="1"/>
  <c r="K164" i="15"/>
  <c r="K92" i="15"/>
  <c r="K166" i="15"/>
  <c r="D110" i="15"/>
  <c r="F49" i="15"/>
  <c r="F132" i="15" s="1"/>
  <c r="D11" i="13"/>
  <c r="D15" i="13" s="1"/>
  <c r="B13" i="13"/>
  <c r="F227" i="15"/>
  <c r="F78" i="15" s="1"/>
  <c r="F218" i="15"/>
  <c r="G214" i="15" s="1"/>
  <c r="L164" i="15" l="1"/>
  <c r="L166" i="15"/>
  <c r="L122" i="15"/>
  <c r="L124" i="15" s="1"/>
  <c r="L92" i="15"/>
  <c r="E138" i="15"/>
  <c r="E130" i="15"/>
  <c r="E134" i="15" s="1"/>
  <c r="J199" i="15"/>
  <c r="J200" i="15" s="1"/>
  <c r="K196" i="15" s="1"/>
  <c r="K198" i="15" s="1"/>
  <c r="J41" i="15"/>
  <c r="J46" i="15"/>
  <c r="J48" i="15" s="1"/>
  <c r="E87" i="15"/>
  <c r="I190" i="15"/>
  <c r="I191" i="15" s="1"/>
  <c r="J187" i="15" s="1"/>
  <c r="G216" i="15"/>
  <c r="G223" i="15"/>
  <c r="G225" i="15" s="1"/>
  <c r="K116" i="15"/>
  <c r="K165" i="15"/>
  <c r="K167" i="15" s="1"/>
  <c r="K114" i="15" s="1"/>
  <c r="K154" i="15"/>
  <c r="K155" i="15" s="1"/>
  <c r="K156" i="15"/>
  <c r="K38" i="15"/>
  <c r="K40" i="15" s="1"/>
  <c r="K126" i="15" s="1"/>
  <c r="J157" i="15"/>
  <c r="J118" i="15" s="1"/>
  <c r="F50" i="15"/>
  <c r="F51" i="15" s="1"/>
  <c r="B17" i="13"/>
  <c r="B140" i="15" s="1"/>
  <c r="B142" i="15" s="1"/>
  <c r="L154" i="15" l="1"/>
  <c r="L155" i="15" s="1"/>
  <c r="L156" i="15"/>
  <c r="L38" i="15"/>
  <c r="L40" i="15" s="1"/>
  <c r="L116" i="15"/>
  <c r="L165" i="15"/>
  <c r="L167" i="15" s="1"/>
  <c r="L114" i="15" s="1"/>
  <c r="K157" i="15"/>
  <c r="K118" i="15" s="1"/>
  <c r="F138" i="15"/>
  <c r="F130" i="15"/>
  <c r="F134" i="15" s="1"/>
  <c r="K41" i="15"/>
  <c r="K46" i="15"/>
  <c r="K48" i="15" s="1"/>
  <c r="G217" i="15"/>
  <c r="G226" i="15" s="1"/>
  <c r="E91" i="15"/>
  <c r="E94" i="15" s="1"/>
  <c r="E96" i="15" s="1"/>
  <c r="E99" i="15" s="1"/>
  <c r="E52" i="15"/>
  <c r="E128" i="15" s="1"/>
  <c r="J189" i="15"/>
  <c r="K199" i="15"/>
  <c r="K200" i="15"/>
  <c r="L196" i="15" s="1"/>
  <c r="L198" i="15" s="1"/>
  <c r="L199" i="15" s="1"/>
  <c r="L200" i="15" s="1"/>
  <c r="C9" i="13"/>
  <c r="C13" i="13" s="1"/>
  <c r="C17" i="13" s="1"/>
  <c r="C140" i="15" s="1"/>
  <c r="C142" i="15" s="1"/>
  <c r="B66" i="15"/>
  <c r="B74" i="15" s="1"/>
  <c r="L126" i="15" l="1"/>
  <c r="L46" i="15"/>
  <c r="L48" i="15" s="1"/>
  <c r="L41" i="15"/>
  <c r="L157" i="15"/>
  <c r="L118" i="15" s="1"/>
  <c r="E11" i="13"/>
  <c r="E15" i="13" s="1"/>
  <c r="E110" i="15"/>
  <c r="G218" i="15"/>
  <c r="H214" i="15" s="1"/>
  <c r="J190" i="15"/>
  <c r="G227" i="15"/>
  <c r="G78" i="15" s="1"/>
  <c r="G49" i="15"/>
  <c r="C66" i="15"/>
  <c r="C74" i="15" s="1"/>
  <c r="D9" i="13"/>
  <c r="D13" i="13" s="1"/>
  <c r="D17" i="13" s="1"/>
  <c r="D140" i="15" s="1"/>
  <c r="D142" i="15" s="1"/>
  <c r="F87" i="15"/>
  <c r="F91" i="15"/>
  <c r="F94" i="15" s="1"/>
  <c r="F52" i="15"/>
  <c r="F128" i="15" s="1"/>
  <c r="G50" i="15" l="1"/>
  <c r="G132" i="15"/>
  <c r="F110" i="15"/>
  <c r="H216" i="15"/>
  <c r="H217" i="15" s="1"/>
  <c r="H223" i="15"/>
  <c r="H225" i="15" s="1"/>
  <c r="J191" i="15"/>
  <c r="K187" i="15" s="1"/>
  <c r="E9" i="13"/>
  <c r="E13" i="13" s="1"/>
  <c r="E17" i="13" s="1"/>
  <c r="E140" i="15" s="1"/>
  <c r="E142" i="15" s="1"/>
  <c r="D66" i="15"/>
  <c r="D74" i="15" s="1"/>
  <c r="F96" i="15"/>
  <c r="F99" i="15" s="1"/>
  <c r="F11" i="13"/>
  <c r="F15" i="13" s="1"/>
  <c r="G51" i="15" l="1"/>
  <c r="G52" i="15" s="1"/>
  <c r="G138" i="15"/>
  <c r="G130" i="15"/>
  <c r="G134" i="15" s="1"/>
  <c r="K189" i="15"/>
  <c r="G87" i="15"/>
  <c r="G91" i="15"/>
  <c r="G94" i="15" s="1"/>
  <c r="H218" i="15"/>
  <c r="I214" i="15" s="1"/>
  <c r="H226" i="15"/>
  <c r="E66" i="15"/>
  <c r="E74" i="15" s="1"/>
  <c r="F9" i="13"/>
  <c r="F13" i="13" s="1"/>
  <c r="F17" i="13" s="1"/>
  <c r="F140" i="15" s="1"/>
  <c r="F142" i="15" s="1"/>
  <c r="G128" i="15" l="1"/>
  <c r="G11" i="13"/>
  <c r="G15" i="13" s="1"/>
  <c r="G110" i="15"/>
  <c r="G96" i="15"/>
  <c r="G99" i="15" s="1"/>
  <c r="H227" i="15"/>
  <c r="H78" i="15" s="1"/>
  <c r="H49" i="15"/>
  <c r="I216" i="15"/>
  <c r="I217" i="15" s="1"/>
  <c r="I223" i="15"/>
  <c r="I225" i="15" s="1"/>
  <c r="K190" i="15"/>
  <c r="F66" i="15"/>
  <c r="F74" i="15" s="1"/>
  <c r="G9" i="13"/>
  <c r="G13" i="13" s="1"/>
  <c r="G17" i="13" s="1"/>
  <c r="G140" i="15" s="1"/>
  <c r="G142" i="15" s="1"/>
  <c r="H50" i="15" l="1"/>
  <c r="H132" i="15"/>
  <c r="K191" i="15"/>
  <c r="L187" i="15" s="1"/>
  <c r="L189" i="15" s="1"/>
  <c r="I218" i="15"/>
  <c r="J214" i="15" s="1"/>
  <c r="I226" i="15"/>
  <c r="H9" i="13"/>
  <c r="G66" i="15"/>
  <c r="G74" i="15" s="1"/>
  <c r="H51" i="15" l="1"/>
  <c r="H52" i="15" s="1"/>
  <c r="L190" i="15"/>
  <c r="L191" i="15"/>
  <c r="H138" i="15"/>
  <c r="H130" i="15"/>
  <c r="H134" i="15" s="1"/>
  <c r="J216" i="15"/>
  <c r="J217" i="15" s="1"/>
  <c r="J223" i="15"/>
  <c r="J225" i="15" s="1"/>
  <c r="H91" i="15"/>
  <c r="H94" i="15" s="1"/>
  <c r="H87" i="15"/>
  <c r="I227" i="15"/>
  <c r="I78" i="15" s="1"/>
  <c r="I49" i="15"/>
  <c r="H11" i="13" l="1"/>
  <c r="H15" i="13" s="1"/>
  <c r="H128" i="15"/>
  <c r="H13" i="13"/>
  <c r="H17" i="13" s="1"/>
  <c r="I9" i="13" s="1"/>
  <c r="I50" i="15"/>
  <c r="I132" i="15"/>
  <c r="H96" i="15"/>
  <c r="H99" i="15" s="1"/>
  <c r="H110" i="15"/>
  <c r="J218" i="15"/>
  <c r="K214" i="15" s="1"/>
  <c r="J226" i="15"/>
  <c r="I51" i="15" l="1"/>
  <c r="I52" i="15" s="1"/>
  <c r="H140" i="15"/>
  <c r="H142" i="15" s="1"/>
  <c r="H66" i="15"/>
  <c r="H74" i="15" s="1"/>
  <c r="I138" i="15"/>
  <c r="I130" i="15"/>
  <c r="I134" i="15" s="1"/>
  <c r="K216" i="15"/>
  <c r="K217" i="15" s="1"/>
  <c r="K223" i="15"/>
  <c r="K225" i="15" s="1"/>
  <c r="I91" i="15"/>
  <c r="I94" i="15" s="1"/>
  <c r="I87" i="15"/>
  <c r="J227" i="15"/>
  <c r="J78" i="15" s="1"/>
  <c r="J49" i="15"/>
  <c r="I11" i="13" l="1"/>
  <c r="I13" i="13" s="1"/>
  <c r="I128" i="15"/>
  <c r="I15" i="13"/>
  <c r="I17" i="13" s="1"/>
  <c r="I140" i="15" s="1"/>
  <c r="I142" i="15" s="1"/>
  <c r="J50" i="15"/>
  <c r="J132" i="15"/>
  <c r="K218" i="15"/>
  <c r="L214" i="15" s="1"/>
  <c r="K226" i="15"/>
  <c r="I110" i="15"/>
  <c r="I96" i="15"/>
  <c r="I99" i="15" s="1"/>
  <c r="J51" i="15" l="1"/>
  <c r="J52" i="15" s="1"/>
  <c r="L216" i="15"/>
  <c r="L217" i="15" s="1"/>
  <c r="L223" i="15"/>
  <c r="L225" i="15" s="1"/>
  <c r="I66" i="15"/>
  <c r="I74" i="15" s="1"/>
  <c r="J9" i="13"/>
  <c r="J130" i="15"/>
  <c r="J134" i="15" s="1"/>
  <c r="J138" i="15"/>
  <c r="K227" i="15"/>
  <c r="K78" i="15" s="1"/>
  <c r="K49" i="15"/>
  <c r="J87" i="15"/>
  <c r="J11" i="13" l="1"/>
  <c r="J15" i="13" s="1"/>
  <c r="J128" i="15"/>
  <c r="J91" i="15"/>
  <c r="J94" i="15" s="1"/>
  <c r="L218" i="15"/>
  <c r="L226" i="15"/>
  <c r="L49" i="15" s="1"/>
  <c r="K50" i="15"/>
  <c r="K51" i="15" s="1"/>
  <c r="K132" i="15"/>
  <c r="J110" i="15"/>
  <c r="J96" i="15"/>
  <c r="J99" i="15" s="1"/>
  <c r="J13" i="13" l="1"/>
  <c r="J17" i="13" s="1"/>
  <c r="J140" i="15" s="1"/>
  <c r="J142" i="15" s="1"/>
  <c r="L132" i="15"/>
  <c r="L50" i="15"/>
  <c r="L51" i="15" s="1"/>
  <c r="L227" i="15"/>
  <c r="L78" i="15" s="1"/>
  <c r="J66" i="15"/>
  <c r="J74" i="15" s="1"/>
  <c r="K9" i="13"/>
  <c r="K138" i="15"/>
  <c r="K130" i="15"/>
  <c r="K134" i="15" s="1"/>
  <c r="K87" i="15"/>
  <c r="K91" i="15"/>
  <c r="K94" i="15" s="1"/>
  <c r="K52" i="15"/>
  <c r="L138" i="15" l="1"/>
  <c r="L130" i="15"/>
  <c r="L134" i="15" s="1"/>
  <c r="K11" i="13"/>
  <c r="K15" i="13" s="1"/>
  <c r="K128" i="15"/>
  <c r="K110" i="15"/>
  <c r="K96" i="15"/>
  <c r="K99" i="15" s="1"/>
  <c r="L52" i="15" l="1"/>
  <c r="L87" i="15"/>
  <c r="L91" i="15"/>
  <c r="L94" i="15" s="1"/>
  <c r="K13" i="13"/>
  <c r="K17" i="13" s="1"/>
  <c r="L9" i="13" s="1"/>
  <c r="L110" i="15" l="1"/>
  <c r="L96" i="15"/>
  <c r="L99" i="15" s="1"/>
  <c r="L128" i="15"/>
  <c r="L11" i="13"/>
  <c r="L15" i="13" s="1"/>
  <c r="K140" i="15"/>
  <c r="K142" i="15" s="1"/>
  <c r="K66" i="15"/>
  <c r="K74" i="15" s="1"/>
  <c r="L13" i="13" l="1"/>
  <c r="L17" i="13" s="1"/>
  <c r="L66" i="15" s="1"/>
  <c r="L74" i="15" s="1"/>
</calcChain>
</file>

<file path=xl/sharedStrings.xml><?xml version="1.0" encoding="utf-8"?>
<sst xmlns="http://schemas.openxmlformats.org/spreadsheetml/2006/main" count="304" uniqueCount="204">
  <si>
    <t>Particulars</t>
  </si>
  <si>
    <t>Stock</t>
  </si>
  <si>
    <t>Debtors</t>
  </si>
  <si>
    <t>Gross Working Capital</t>
  </si>
  <si>
    <t>SCHEDULE OF DEPRECIATION</t>
  </si>
  <si>
    <t>Opening  Balance</t>
  </si>
  <si>
    <t>Additions During the year</t>
  </si>
  <si>
    <t>Gross Block</t>
  </si>
  <si>
    <t>Written down value</t>
  </si>
  <si>
    <t>Total Assets</t>
  </si>
  <si>
    <t>TOTAL OPERATING EXP.</t>
  </si>
  <si>
    <t>Less: Depreciation</t>
  </si>
  <si>
    <t>NET PROFIT BEFORE TAX</t>
  </si>
  <si>
    <t>PROJECTED BALANCE SHEET</t>
  </si>
  <si>
    <t>SOURCES OF FUNDS</t>
  </si>
  <si>
    <t>Secured loans from bank</t>
  </si>
  <si>
    <t>TOTAL SOURCES OF FUNDS</t>
  </si>
  <si>
    <t>EMPLOYED AS UNDER</t>
  </si>
  <si>
    <t>Current assets</t>
  </si>
  <si>
    <t>Cash &amp; Bank</t>
  </si>
  <si>
    <t>Current Liabilities</t>
  </si>
  <si>
    <t>Net Working Capital</t>
  </si>
  <si>
    <t>Calculation of Sundry Creditors</t>
  </si>
  <si>
    <t>Total Purchases</t>
  </si>
  <si>
    <t>Average Monthly purchase</t>
  </si>
  <si>
    <t>Creditors</t>
  </si>
  <si>
    <t>Creditors as to Monthly purchases</t>
  </si>
  <si>
    <t>Calculation of Sundry Debtors</t>
  </si>
  <si>
    <t>Furniture &amp; Fixtures</t>
  </si>
  <si>
    <t>Computers</t>
  </si>
  <si>
    <t>Depreciation @ 10% p.a.</t>
  </si>
  <si>
    <t>Depreciation Total</t>
  </si>
  <si>
    <t>Less: Operating Expenses</t>
  </si>
  <si>
    <t>Add: Net Profit during the year</t>
  </si>
  <si>
    <t>Depreciation</t>
  </si>
  <si>
    <t>Capital</t>
  </si>
  <si>
    <t>Note:</t>
  </si>
  <si>
    <t xml:space="preserve">Sundry Creditors </t>
  </si>
  <si>
    <t>Lockup Levels in months</t>
  </si>
  <si>
    <t>Performance</t>
  </si>
  <si>
    <t>Growth %</t>
  </si>
  <si>
    <t>Gross Profit Ratio</t>
  </si>
  <si>
    <t>Operating Profit Ratio</t>
  </si>
  <si>
    <t>Net Cash Accruals</t>
  </si>
  <si>
    <t>Represented by :</t>
  </si>
  <si>
    <t>CALCULATION OF RATIOS:</t>
  </si>
  <si>
    <t>Turnover</t>
  </si>
  <si>
    <t>Less: Creditors &amp; O/s exp.</t>
  </si>
  <si>
    <t>PROJECTED PROFIT &amp; LOSS ACCOUNT</t>
  </si>
  <si>
    <t>NA</t>
  </si>
  <si>
    <t>Opening Bal</t>
  </si>
  <si>
    <t>Less: Drawings</t>
  </si>
  <si>
    <t>Closing Bal</t>
  </si>
  <si>
    <t>NET PROFIT BEFORE DEP and INT</t>
  </si>
  <si>
    <t>NET PROFIT BEFORE DEP</t>
  </si>
  <si>
    <t>NP RATIO (AFTER DEP AND INT)</t>
  </si>
  <si>
    <t>NP RATIO (BEFORE DEP AND INT)</t>
  </si>
  <si>
    <t>Debtors (in months)</t>
  </si>
  <si>
    <t>Depreciation @ 15% p.a.*</t>
  </si>
  <si>
    <t>Gross Current Asset - A</t>
  </si>
  <si>
    <t>Total current liabilities - B</t>
  </si>
  <si>
    <t>Net worth</t>
  </si>
  <si>
    <t>Creditors (in months)</t>
  </si>
  <si>
    <t>Net Profit before tax and Interest</t>
  </si>
  <si>
    <t>Finished Goods (in months)</t>
  </si>
  <si>
    <t>Profit Before Tax</t>
  </si>
  <si>
    <t>Equipments</t>
  </si>
  <si>
    <t>Written Down value</t>
  </si>
  <si>
    <t>Total Sales</t>
  </si>
  <si>
    <t>Average Monthly Sales</t>
  </si>
  <si>
    <t>Debtors as to Monthly Sales</t>
  </si>
  <si>
    <t>Calculation of Closing Stock of Finished Goods</t>
  </si>
  <si>
    <t>Average Monthly Sales/Production</t>
  </si>
  <si>
    <t>Closing Stock of Finished Goods</t>
  </si>
  <si>
    <t>Finished Goods as to Monthly Sales</t>
  </si>
  <si>
    <t>Add: Closing Stock as at 31st March</t>
  </si>
  <si>
    <t>Stock (Finished Goods)</t>
  </si>
  <si>
    <t>Other Current Assets</t>
  </si>
  <si>
    <t>Printing &amp; Stationery</t>
  </si>
  <si>
    <t>Telephone &amp; Communication Exp.</t>
  </si>
  <si>
    <t>Travelling &amp; Conveyance</t>
  </si>
  <si>
    <t xml:space="preserve">SCHEDULE 1:  ADMINISTRATION, SELLING AND DISTRIBUTION EXPENSES </t>
  </si>
  <si>
    <t>SCHEDULE 2: CAPITAL ACCOUNT</t>
  </si>
  <si>
    <t>1)</t>
  </si>
  <si>
    <t xml:space="preserve">Full Name                               </t>
  </si>
  <si>
    <t>:</t>
  </si>
  <si>
    <t>2)</t>
  </si>
  <si>
    <t>3)</t>
  </si>
  <si>
    <t>4)</t>
  </si>
  <si>
    <t>5)</t>
  </si>
  <si>
    <t>6)</t>
  </si>
  <si>
    <t>Nature of facilities required</t>
  </si>
  <si>
    <t>Name Of Business</t>
  </si>
  <si>
    <t>Address Of Business</t>
  </si>
  <si>
    <t>Nature of Business</t>
  </si>
  <si>
    <t>Less: Purchases of Goods</t>
  </si>
  <si>
    <t>(A)</t>
  </si>
  <si>
    <t>(B)</t>
  </si>
  <si>
    <t>Fixed assets (i)</t>
  </si>
  <si>
    <t>Net Working Capital (A-B) (iii)</t>
  </si>
  <si>
    <t>TOTAL APPLICATION OF FUNDS (i+ii+iii)</t>
  </si>
  <si>
    <t xml:space="preserve">Current Ratio </t>
  </si>
  <si>
    <t>Capital Account (See Schedule 2)</t>
  </si>
  <si>
    <t>Administration, Selling and Distribution Expenses (See Schedule 1)</t>
  </si>
  <si>
    <t>Repairs and Maintenance</t>
  </si>
  <si>
    <t>PROJECT REPORT DETAILS</t>
  </si>
  <si>
    <t>Primary Security</t>
  </si>
  <si>
    <t>Professional Fees</t>
  </si>
  <si>
    <t>Electricity Expenses</t>
  </si>
  <si>
    <t>Misc Expenses</t>
  </si>
  <si>
    <t>Add: Other Income</t>
  </si>
  <si>
    <t xml:space="preserve">* It is assumed that depreciation is charged as per rates of income tax and accordingly depreciation is charged at half of the </t>
  </si>
  <si>
    <t xml:space="preserve">   normal rates where asset is put to use for less than 182 days in the financial year</t>
  </si>
  <si>
    <t>Less: Margin @ 25%</t>
  </si>
  <si>
    <t>Income Tax Payable</t>
  </si>
  <si>
    <t>Less: Income Tax</t>
  </si>
  <si>
    <t>NET PROFIT AFTER TAX</t>
  </si>
  <si>
    <t>Depreciation @ 40% p.a.*</t>
  </si>
  <si>
    <t>Gross Profit                                           C=(A-B)</t>
  </si>
  <si>
    <t>% of Gross Profit                                                              C/i</t>
  </si>
  <si>
    <t>Invetments (Long Term Asset) (ii)</t>
  </si>
  <si>
    <t xml:space="preserve"> </t>
  </si>
  <si>
    <t>31 Mar,22</t>
  </si>
  <si>
    <t>31 Mar,23</t>
  </si>
  <si>
    <t>31 Mar,24</t>
  </si>
  <si>
    <t>31 Mar,25</t>
  </si>
  <si>
    <t xml:space="preserve">Lunch &amp; Refreshment </t>
  </si>
  <si>
    <t>Interest @ 12.00% *</t>
  </si>
  <si>
    <t>31 Mar,26</t>
  </si>
  <si>
    <t>Bank CC</t>
  </si>
  <si>
    <t>CC Applied For</t>
  </si>
  <si>
    <t>Eligibility For CC (As per Working Capital Basis)</t>
  </si>
  <si>
    <t>Eligibility For CC (As per Sales Basis)</t>
  </si>
  <si>
    <t xml:space="preserve">Factor applied for actual debit of interest to CC account </t>
  </si>
  <si>
    <t>ELIGIBILITY FOR BANK CC</t>
  </si>
  <si>
    <t>31 Mar,21</t>
  </si>
  <si>
    <t xml:space="preserve">Unecured loans </t>
  </si>
  <si>
    <t>Shop Rent</t>
  </si>
  <si>
    <t>PROVISIONAL</t>
  </si>
  <si>
    <t>PROJECTED</t>
  </si>
  <si>
    <t>Interest on CC &amp; Term Loan</t>
  </si>
  <si>
    <t>31 Mar,27</t>
  </si>
  <si>
    <t>Software</t>
  </si>
  <si>
    <t>EMI CALCULATOR</t>
  </si>
  <si>
    <t>INSTRUCTION</t>
  </si>
  <si>
    <t>LOAN AMOUNT</t>
  </si>
  <si>
    <t>FILL UP</t>
  </si>
  <si>
    <r>
      <t xml:space="preserve">Please Fill Up Only </t>
    </r>
    <r>
      <rPr>
        <b/>
        <sz val="10"/>
        <rFont val="Arial"/>
        <family val="2"/>
      </rPr>
      <t>Loan Amount,</t>
    </r>
    <r>
      <rPr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>Rate Per Annum</t>
    </r>
    <r>
      <rPr>
        <sz val="10"/>
        <color indexed="10"/>
        <rFont val="Arial"/>
        <family val="2"/>
      </rPr>
      <t xml:space="preserve">,and </t>
    </r>
    <r>
      <rPr>
        <b/>
        <sz val="10"/>
        <rFont val="Arial"/>
        <family val="2"/>
      </rPr>
      <t>Nos. of Installments</t>
    </r>
    <r>
      <rPr>
        <sz val="10"/>
        <color indexed="10"/>
        <rFont val="Arial"/>
        <family val="2"/>
      </rPr>
      <t xml:space="preserve"> it will Automatically shows you the details of EMIs</t>
    </r>
  </si>
  <si>
    <t>RATE OF INTEREST PER ANNUM</t>
  </si>
  <si>
    <t>RATE OF INTEREST PER MONTH</t>
  </si>
  <si>
    <t xml:space="preserve">NO OF INSTALLMENT </t>
  </si>
  <si>
    <t>EMI</t>
  </si>
  <si>
    <t>CALCULATION OF DETAILS OF EMI</t>
  </si>
  <si>
    <t>MONTHS</t>
  </si>
  <si>
    <t>INTEREST</t>
  </si>
  <si>
    <t>PRINCIPAL REPAYMENT</t>
  </si>
  <si>
    <t>OST PRINCIPAL</t>
  </si>
  <si>
    <t>Present Value Annuity Factor Table</t>
  </si>
  <si>
    <t>ANNUITY</t>
  </si>
  <si>
    <t>Depreciation @ 25% p.a.*</t>
  </si>
  <si>
    <t>Interest on Term Loan</t>
  </si>
  <si>
    <t>M/S PHARMACY EXPRESS</t>
  </si>
  <si>
    <t>31 Mar,28</t>
  </si>
  <si>
    <t>31 Mar,29</t>
  </si>
  <si>
    <t>Bank Term Loan</t>
  </si>
  <si>
    <t>MRS.TANUJA SINGH</t>
  </si>
  <si>
    <t>WORKS &amp; LABOUR CONTRACTORS</t>
  </si>
  <si>
    <t>M/S SHREE ENTERPRISES</t>
  </si>
  <si>
    <t>BLDG NO.2, A WING, BLOCK NO 20,</t>
  </si>
  <si>
    <t>VISHRAM TOWER, SHREE NAGA</t>
  </si>
  <si>
    <t>THANE - 400604</t>
  </si>
  <si>
    <t xml:space="preserve">MAHARASHTRA </t>
  </si>
  <si>
    <t>TERM LOAN OF RS. 35 LACS</t>
  </si>
  <si>
    <t>RESIDENTIAL PREMISES AT ASHAR AXIS,THANE</t>
  </si>
  <si>
    <t>34 Mar,34</t>
  </si>
  <si>
    <t>32 Mar,30</t>
  </si>
  <si>
    <t>32 Mar,31</t>
  </si>
  <si>
    <t>33 Mar,32</t>
  </si>
  <si>
    <t>33 Mar,33</t>
  </si>
  <si>
    <t>34 Mar,35</t>
  </si>
  <si>
    <t>34 Mar,36</t>
  </si>
  <si>
    <t>Sale of Works Contract Service                                     (i)</t>
  </si>
  <si>
    <t>Transport Charges</t>
  </si>
  <si>
    <t>Loading &amp; Unloading Charges</t>
  </si>
  <si>
    <t>Office Expenses</t>
  </si>
  <si>
    <t>Petrol Expenses</t>
  </si>
  <si>
    <t>Insurance</t>
  </si>
  <si>
    <t xml:space="preserve">         Labour Charges &amp; Salary</t>
  </si>
  <si>
    <t xml:space="preserve">Interest </t>
  </si>
  <si>
    <t>Year</t>
  </si>
  <si>
    <t>2026-27</t>
  </si>
  <si>
    <t>2027-28</t>
  </si>
  <si>
    <t>2028-29</t>
  </si>
  <si>
    <t>2029-30</t>
  </si>
  <si>
    <t>2030-31</t>
  </si>
  <si>
    <t>2032-33</t>
  </si>
  <si>
    <t>2031-32</t>
  </si>
  <si>
    <t>2033-34</t>
  </si>
  <si>
    <t>2034-35</t>
  </si>
  <si>
    <t>2035-36</t>
  </si>
  <si>
    <t>Duties &amp; Taxes</t>
  </si>
  <si>
    <t>TDS Payable</t>
  </si>
  <si>
    <t>Principal  Repayment</t>
  </si>
  <si>
    <t xml:space="preserve">Opening OD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</si>
</sst>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_ * #,##0_ ;_ * \-#,##0_ ;_ * &quot;-&quot;??_ ;_ @_ "/>
    <numFmt numFmtId="167" formatCode="0.000%"/>
    <numFmt numFmtId="168" formatCode="#,##0.00;[Red]#,##0.00"/>
    <numFmt numFmtId="169" formatCode="0.0"/>
    <numFmt numFmtId="170" formatCode="0.000"/>
  </numFmts>
  <fonts count="33" x14ac:knownFonts="1">
    <font>
      <sz val="10"/>
      <name val="Arial"/>
    </font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u/>
      <sz val="16"/>
      <name val="Times New Roman"/>
      <family val="1"/>
    </font>
    <font>
      <sz val="8"/>
      <name val="Arial"/>
      <family val="2"/>
    </font>
    <font>
      <b/>
      <u/>
      <sz val="18"/>
      <name val="Times New Roman"/>
      <family val="1"/>
    </font>
    <font>
      <b/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8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b/>
      <u/>
      <sz val="26"/>
      <name val="Times New Roman"/>
      <family val="1"/>
    </font>
    <font>
      <sz val="26"/>
      <name val="Times New Roman"/>
      <family val="1"/>
    </font>
    <font>
      <b/>
      <sz val="26"/>
      <name val="Times New Roman"/>
      <family val="1"/>
    </font>
    <font>
      <b/>
      <sz val="26"/>
      <color indexed="10"/>
      <name val="Times New Roman"/>
      <family val="1"/>
    </font>
    <font>
      <sz val="26"/>
      <color indexed="10"/>
      <name val="Times New Roman"/>
      <family val="1"/>
    </font>
    <font>
      <b/>
      <u/>
      <sz val="26"/>
      <color indexed="10"/>
      <name val="Times New Roman"/>
      <family val="1"/>
    </font>
    <font>
      <b/>
      <sz val="24"/>
      <name val="Times New Roman"/>
      <family val="1"/>
    </font>
    <font>
      <b/>
      <sz val="8"/>
      <name val="Times New Roman"/>
      <family val="1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Times New Roman"/>
      <family val="1"/>
    </font>
    <font>
      <b/>
      <sz val="10"/>
      <color indexed="48"/>
      <name val="Times New Roman"/>
      <family val="1"/>
    </font>
    <font>
      <sz val="10"/>
      <color indexed="10"/>
      <name val="Arial"/>
      <family val="2"/>
    </font>
    <font>
      <b/>
      <sz val="10"/>
      <color indexed="63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b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0">
    <xf numFmtId="0" fontId="0" fillId="0" borderId="0" xfId="0"/>
    <xf numFmtId="1" fontId="2" fillId="0" borderId="1" xfId="1" applyNumberFormat="1" applyFont="1" applyFill="1" applyBorder="1"/>
    <xf numFmtId="0" fontId="5" fillId="0" borderId="0" xfId="0" applyFont="1"/>
    <xf numFmtId="1" fontId="3" fillId="0" borderId="2" xfId="0" applyNumberFormat="1" applyFont="1" applyFill="1" applyBorder="1"/>
    <xf numFmtId="1" fontId="2" fillId="0" borderId="2" xfId="1" applyNumberFormat="1" applyFont="1" applyFill="1" applyBorder="1"/>
    <xf numFmtId="165" fontId="2" fillId="0" borderId="1" xfId="1" applyNumberFormat="1" applyFont="1" applyFill="1" applyBorder="1"/>
    <xf numFmtId="165" fontId="2" fillId="0" borderId="2" xfId="1" applyNumberFormat="1" applyFont="1" applyFill="1" applyBorder="1"/>
    <xf numFmtId="0" fontId="5" fillId="0" borderId="0" xfId="0" applyFont="1" applyFill="1"/>
    <xf numFmtId="165" fontId="2" fillId="0" borderId="3" xfId="1" applyNumberFormat="1" applyFont="1" applyFill="1" applyBorder="1"/>
    <xf numFmtId="1" fontId="2" fillId="0" borderId="3" xfId="1" applyNumberFormat="1" applyFont="1" applyFill="1" applyBorder="1"/>
    <xf numFmtId="165" fontId="5" fillId="0" borderId="0" xfId="0" applyNumberFormat="1" applyFont="1"/>
    <xf numFmtId="0" fontId="9" fillId="0" borderId="0" xfId="0" applyFont="1"/>
    <xf numFmtId="0" fontId="9" fillId="0" borderId="0" xfId="0" applyFont="1" applyBorder="1" applyAlignment="1">
      <alignment horizontal="center"/>
    </xf>
    <xf numFmtId="0" fontId="4" fillId="0" borderId="0" xfId="0" applyFont="1" applyBorder="1"/>
    <xf numFmtId="0" fontId="9" fillId="0" borderId="0" xfId="0" applyFont="1" applyBorder="1"/>
    <xf numFmtId="0" fontId="0" fillId="0" borderId="0" xfId="0" applyBorder="1"/>
    <xf numFmtId="43" fontId="0" fillId="0" borderId="0" xfId="1" applyFont="1" applyBorder="1"/>
    <xf numFmtId="0" fontId="10" fillId="0" borderId="0" xfId="0" applyFont="1"/>
    <xf numFmtId="0" fontId="11" fillId="0" borderId="0" xfId="0" applyFont="1"/>
    <xf numFmtId="0" fontId="10" fillId="0" borderId="4" xfId="0" applyFont="1" applyBorder="1"/>
    <xf numFmtId="0" fontId="11" fillId="0" borderId="4" xfId="0" applyFont="1" applyBorder="1"/>
    <xf numFmtId="0" fontId="10" fillId="0" borderId="5" xfId="0" applyFont="1" applyBorder="1"/>
    <xf numFmtId="0" fontId="11" fillId="0" borderId="6" xfId="0" applyFont="1" applyBorder="1"/>
    <xf numFmtId="0" fontId="11" fillId="0" borderId="7" xfId="0" applyFont="1" applyBorder="1" applyAlignment="1">
      <alignment horizontal="center"/>
    </xf>
    <xf numFmtId="0" fontId="11" fillId="0" borderId="1" xfId="0" applyFont="1" applyBorder="1"/>
    <xf numFmtId="0" fontId="11" fillId="0" borderId="0" xfId="0" applyFont="1" applyBorder="1" applyAlignment="1">
      <alignment horizontal="center"/>
    </xf>
    <xf numFmtId="0" fontId="10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10" fillId="0" borderId="10" xfId="0" applyFont="1" applyBorder="1"/>
    <xf numFmtId="0" fontId="11" fillId="0" borderId="10" xfId="0" applyFont="1" applyBorder="1"/>
    <xf numFmtId="0" fontId="11" fillId="0" borderId="4" xfId="0" applyFont="1" applyBorder="1" applyAlignment="1">
      <alignment horizontal="center"/>
    </xf>
    <xf numFmtId="0" fontId="13" fillId="0" borderId="0" xfId="0" applyFont="1"/>
    <xf numFmtId="0" fontId="15" fillId="0" borderId="0" xfId="0" applyFont="1"/>
    <xf numFmtId="1" fontId="8" fillId="0" borderId="6" xfId="0" applyNumberFormat="1" applyFont="1" applyFill="1" applyBorder="1" applyAlignment="1">
      <alignment horizontal="center"/>
    </xf>
    <xf numFmtId="1" fontId="8" fillId="0" borderId="10" xfId="0" applyNumberFormat="1" applyFont="1" applyFill="1" applyBorder="1" applyAlignment="1">
      <alignment horizontal="center"/>
    </xf>
    <xf numFmtId="1" fontId="15" fillId="0" borderId="1" xfId="0" applyNumberFormat="1" applyFont="1" applyFill="1" applyBorder="1"/>
    <xf numFmtId="165" fontId="15" fillId="0" borderId="1" xfId="1" applyNumberFormat="1" applyFont="1" applyFill="1" applyBorder="1"/>
    <xf numFmtId="1" fontId="15" fillId="0" borderId="2" xfId="0" applyNumberFormat="1" applyFont="1" applyFill="1" applyBorder="1"/>
    <xf numFmtId="165" fontId="13" fillId="0" borderId="0" xfId="0" applyNumberFormat="1" applyFont="1"/>
    <xf numFmtId="1" fontId="16" fillId="0" borderId="0" xfId="0" applyNumberFormat="1" applyFont="1" applyFill="1" applyAlignment="1">
      <alignment horizontal="center"/>
    </xf>
    <xf numFmtId="1" fontId="17" fillId="0" borderId="0" xfId="0" applyNumberFormat="1" applyFont="1" applyFill="1"/>
    <xf numFmtId="1" fontId="17" fillId="0" borderId="0" xfId="1" applyNumberFormat="1" applyFont="1" applyFill="1" applyAlignment="1">
      <alignment horizontal="right"/>
    </xf>
    <xf numFmtId="1" fontId="16" fillId="0" borderId="6" xfId="0" applyNumberFormat="1" applyFont="1" applyFill="1" applyBorder="1" applyAlignment="1">
      <alignment horizontal="left"/>
    </xf>
    <xf numFmtId="1" fontId="16" fillId="0" borderId="6" xfId="1" applyNumberFormat="1" applyFont="1" applyFill="1" applyBorder="1" applyAlignment="1">
      <alignment horizontal="right"/>
    </xf>
    <xf numFmtId="1" fontId="17" fillId="0" borderId="10" xfId="0" applyNumberFormat="1" applyFont="1" applyFill="1" applyBorder="1"/>
    <xf numFmtId="1" fontId="17" fillId="0" borderId="1" xfId="0" applyNumberFormat="1" applyFont="1" applyFill="1" applyBorder="1"/>
    <xf numFmtId="165" fontId="17" fillId="0" borderId="1" xfId="1" applyNumberFormat="1" applyFont="1" applyFill="1" applyBorder="1" applyAlignment="1">
      <alignment horizontal="right"/>
    </xf>
    <xf numFmtId="165" fontId="17" fillId="0" borderId="10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17" fillId="0" borderId="0" xfId="1" applyNumberFormat="1" applyFont="1" applyFill="1" applyBorder="1" applyAlignment="1">
      <alignment horizontal="right"/>
    </xf>
    <xf numFmtId="165" fontId="17" fillId="0" borderId="1" xfId="1" applyNumberFormat="1" applyFont="1" applyFill="1" applyBorder="1"/>
    <xf numFmtId="165" fontId="17" fillId="0" borderId="11" xfId="1" applyNumberFormat="1" applyFont="1" applyFill="1" applyBorder="1" applyAlignment="1">
      <alignment horizontal="right"/>
    </xf>
    <xf numFmtId="1" fontId="18" fillId="0" borderId="10" xfId="0" applyNumberFormat="1" applyFont="1" applyFill="1" applyBorder="1"/>
    <xf numFmtId="43" fontId="17" fillId="0" borderId="2" xfId="1" applyFont="1" applyFill="1" applyBorder="1" applyAlignment="1">
      <alignment horizontal="right"/>
    </xf>
    <xf numFmtId="1" fontId="17" fillId="0" borderId="0" xfId="0" applyNumberFormat="1" applyFont="1" applyFill="1" applyBorder="1"/>
    <xf numFmtId="43" fontId="17" fillId="0" borderId="0" xfId="1" applyFont="1" applyFill="1" applyBorder="1" applyAlignment="1">
      <alignment horizontal="right"/>
    </xf>
    <xf numFmtId="1" fontId="18" fillId="0" borderId="0" xfId="0" applyNumberFormat="1" applyFont="1" applyFill="1" applyBorder="1"/>
    <xf numFmtId="1" fontId="18" fillId="0" borderId="0" xfId="0" applyNumberFormat="1" applyFont="1" applyFill="1"/>
    <xf numFmtId="1" fontId="19" fillId="0" borderId="0" xfId="0" applyNumberFormat="1" applyFont="1" applyFill="1"/>
    <xf numFmtId="1" fontId="19" fillId="0" borderId="0" xfId="1" applyNumberFormat="1" applyFont="1" applyFill="1" applyBorder="1" applyAlignment="1">
      <alignment horizontal="right"/>
    </xf>
    <xf numFmtId="1" fontId="16" fillId="0" borderId="0" xfId="0" applyNumberFormat="1" applyFont="1" applyFill="1" applyAlignment="1">
      <alignment horizontal="left"/>
    </xf>
    <xf numFmtId="1" fontId="18" fillId="0" borderId="0" xfId="1" applyNumberFormat="1" applyFont="1" applyFill="1" applyAlignment="1">
      <alignment horizontal="center"/>
    </xf>
    <xf numFmtId="1" fontId="17" fillId="0" borderId="0" xfId="1" applyNumberFormat="1" applyFont="1" applyFill="1"/>
    <xf numFmtId="1" fontId="16" fillId="0" borderId="6" xfId="0" applyNumberFormat="1" applyFont="1" applyFill="1" applyBorder="1" applyAlignment="1">
      <alignment horizontal="center"/>
    </xf>
    <xf numFmtId="1" fontId="16" fillId="0" borderId="10" xfId="0" applyNumberFormat="1" applyFont="1" applyFill="1" applyBorder="1" applyAlignment="1">
      <alignment horizontal="center"/>
    </xf>
    <xf numFmtId="1" fontId="16" fillId="0" borderId="1" xfId="0" applyNumberFormat="1" applyFont="1" applyFill="1" applyBorder="1" applyAlignment="1">
      <alignment horizontal="center"/>
    </xf>
    <xf numFmtId="165" fontId="16" fillId="0" borderId="1" xfId="1" applyNumberFormat="1" applyFont="1" applyFill="1" applyBorder="1" applyAlignment="1">
      <alignment horizontal="right"/>
    </xf>
    <xf numFmtId="1" fontId="17" fillId="0" borderId="1" xfId="1" applyNumberFormat="1" applyFont="1" applyFill="1" applyBorder="1"/>
    <xf numFmtId="1" fontId="17" fillId="0" borderId="1" xfId="1" applyNumberFormat="1" applyFont="1" applyFill="1" applyBorder="1" applyAlignment="1">
      <alignment horizontal="right"/>
    </xf>
    <xf numFmtId="165" fontId="17" fillId="0" borderId="2" xfId="1" applyNumberFormat="1" applyFont="1" applyFill="1" applyBorder="1" applyAlignment="1">
      <alignment horizontal="right"/>
    </xf>
    <xf numFmtId="1" fontId="16" fillId="0" borderId="1" xfId="1" applyNumberFormat="1" applyFont="1" applyFill="1" applyBorder="1"/>
    <xf numFmtId="1" fontId="18" fillId="0" borderId="1" xfId="0" applyNumberFormat="1" applyFont="1" applyFill="1" applyBorder="1" applyAlignment="1">
      <alignment horizontal="left"/>
    </xf>
    <xf numFmtId="165" fontId="18" fillId="0" borderId="2" xfId="1" applyNumberFormat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" fontId="18" fillId="0" borderId="1" xfId="1" applyNumberFormat="1" applyFont="1" applyFill="1" applyBorder="1"/>
    <xf numFmtId="1" fontId="17" fillId="0" borderId="1" xfId="1" applyNumberFormat="1" applyFont="1" applyFill="1" applyBorder="1" applyAlignment="1">
      <alignment wrapText="1"/>
    </xf>
    <xf numFmtId="1" fontId="18" fillId="0" borderId="1" xfId="1" applyNumberFormat="1" applyFont="1" applyFill="1" applyBorder="1" applyAlignment="1">
      <alignment horizontal="center"/>
    </xf>
    <xf numFmtId="165" fontId="17" fillId="0" borderId="6" xfId="1" applyNumberFormat="1" applyFont="1" applyFill="1" applyBorder="1" applyAlignment="1">
      <alignment horizontal="right"/>
    </xf>
    <xf numFmtId="1" fontId="18" fillId="0" borderId="1" xfId="1" applyNumberFormat="1" applyFont="1" applyFill="1" applyBorder="1" applyAlignment="1">
      <alignment horizontal="left"/>
    </xf>
    <xf numFmtId="1" fontId="20" fillId="0" borderId="0" xfId="0" applyNumberFormat="1" applyFont="1" applyFill="1"/>
    <xf numFmtId="1" fontId="18" fillId="0" borderId="2" xfId="1" applyNumberFormat="1" applyFont="1" applyFill="1" applyBorder="1" applyAlignment="1">
      <alignment horizontal="left"/>
    </xf>
    <xf numFmtId="1" fontId="18" fillId="0" borderId="0" xfId="1" applyNumberFormat="1" applyFont="1" applyFill="1" applyBorder="1" applyAlignment="1">
      <alignment horizontal="center"/>
    </xf>
    <xf numFmtId="1" fontId="16" fillId="0" borderId="0" xfId="1" applyNumberFormat="1" applyFont="1" applyFill="1" applyAlignment="1">
      <alignment horizontal="center"/>
    </xf>
    <xf numFmtId="1" fontId="16" fillId="0" borderId="1" xfId="1" applyNumberFormat="1" applyFont="1" applyFill="1" applyBorder="1" applyAlignment="1">
      <alignment horizontal="center"/>
    </xf>
    <xf numFmtId="1" fontId="18" fillId="0" borderId="0" xfId="1" applyNumberFormat="1" applyFont="1" applyFill="1" applyBorder="1" applyAlignment="1">
      <alignment horizontal="left"/>
    </xf>
    <xf numFmtId="165" fontId="18" fillId="0" borderId="0" xfId="1" applyNumberFormat="1" applyFont="1" applyFill="1" applyBorder="1" applyAlignment="1">
      <alignment horizontal="right"/>
    </xf>
    <xf numFmtId="1" fontId="17" fillId="0" borderId="0" xfId="1" applyNumberFormat="1" applyFont="1" applyFill="1" applyBorder="1"/>
    <xf numFmtId="2" fontId="17" fillId="0" borderId="1" xfId="0" applyNumberFormat="1" applyFont="1" applyFill="1" applyBorder="1"/>
    <xf numFmtId="1" fontId="16" fillId="0" borderId="1" xfId="0" applyNumberFormat="1" applyFont="1" applyFill="1" applyBorder="1"/>
    <xf numFmtId="2" fontId="17" fillId="0" borderId="1" xfId="0" applyNumberFormat="1" applyFont="1" applyFill="1" applyBorder="1" applyAlignment="1">
      <alignment horizontal="right"/>
    </xf>
    <xf numFmtId="10" fontId="17" fillId="0" borderId="1" xfId="0" applyNumberFormat="1" applyFont="1" applyFill="1" applyBorder="1"/>
    <xf numFmtId="43" fontId="17" fillId="0" borderId="1" xfId="1" applyFont="1" applyFill="1" applyBorder="1"/>
    <xf numFmtId="10" fontId="17" fillId="0" borderId="1" xfId="2" applyNumberFormat="1" applyFont="1" applyFill="1" applyBorder="1"/>
    <xf numFmtId="1" fontId="18" fillId="0" borderId="1" xfId="0" applyNumberFormat="1" applyFont="1" applyFill="1" applyBorder="1"/>
    <xf numFmtId="165" fontId="18" fillId="0" borderId="1" xfId="1" applyNumberFormat="1" applyFont="1" applyFill="1" applyBorder="1"/>
    <xf numFmtId="1" fontId="16" fillId="0" borderId="1" xfId="1" applyNumberFormat="1" applyFont="1" applyFill="1" applyBorder="1" applyAlignment="1">
      <alignment horizontal="right"/>
    </xf>
    <xf numFmtId="165" fontId="17" fillId="0" borderId="9" xfId="1" applyNumberFormat="1" applyFont="1" applyFill="1" applyBorder="1"/>
    <xf numFmtId="1" fontId="17" fillId="0" borderId="10" xfId="1" applyNumberFormat="1" applyFont="1" applyFill="1" applyBorder="1"/>
    <xf numFmtId="2" fontId="17" fillId="0" borderId="10" xfId="0" applyNumberFormat="1" applyFont="1" applyFill="1" applyBorder="1"/>
    <xf numFmtId="2" fontId="17" fillId="0" borderId="0" xfId="0" applyNumberFormat="1" applyFont="1" applyFill="1" applyBorder="1"/>
    <xf numFmtId="1" fontId="18" fillId="0" borderId="6" xfId="0" applyNumberFormat="1" applyFont="1" applyFill="1" applyBorder="1" applyAlignment="1">
      <alignment horizontal="left"/>
    </xf>
    <xf numFmtId="1" fontId="21" fillId="0" borderId="10" xfId="1" applyNumberFormat="1" applyFont="1" applyFill="1" applyBorder="1"/>
    <xf numFmtId="165" fontId="17" fillId="0" borderId="10" xfId="1" applyNumberFormat="1" applyFont="1" applyFill="1" applyBorder="1"/>
    <xf numFmtId="1" fontId="17" fillId="0" borderId="2" xfId="1" applyNumberFormat="1" applyFont="1" applyFill="1" applyBorder="1"/>
    <xf numFmtId="165" fontId="17" fillId="0" borderId="2" xfId="1" applyNumberFormat="1" applyFont="1" applyFill="1" applyBorder="1"/>
    <xf numFmtId="165" fontId="17" fillId="0" borderId="11" xfId="1" applyNumberFormat="1" applyFont="1" applyFill="1" applyBorder="1"/>
    <xf numFmtId="1" fontId="18" fillId="0" borderId="0" xfId="1" applyNumberFormat="1" applyFont="1" applyFill="1" applyBorder="1" applyAlignment="1">
      <alignment horizontal="right"/>
    </xf>
    <xf numFmtId="0" fontId="10" fillId="0" borderId="6" xfId="0" applyFont="1" applyBorder="1"/>
    <xf numFmtId="0" fontId="10" fillId="0" borderId="1" xfId="0" applyFont="1" applyFill="1" applyBorder="1"/>
    <xf numFmtId="0" fontId="10" fillId="0" borderId="1" xfId="0" applyFont="1" applyBorder="1" applyAlignment="1">
      <alignment horizontal="left"/>
    </xf>
    <xf numFmtId="0" fontId="12" fillId="0" borderId="1" xfId="0" applyFont="1" applyBorder="1"/>
    <xf numFmtId="2" fontId="17" fillId="0" borderId="0" xfId="0" applyNumberFormat="1" applyFont="1" applyFill="1"/>
    <xf numFmtId="2" fontId="17" fillId="0" borderId="0" xfId="1" applyNumberFormat="1" applyFont="1" applyFill="1" applyAlignment="1">
      <alignment horizontal="center"/>
    </xf>
    <xf numFmtId="2" fontId="17" fillId="0" borderId="0" xfId="0" applyNumberFormat="1" applyFont="1" applyFill="1" applyAlignment="1">
      <alignment horizontal="center"/>
    </xf>
    <xf numFmtId="1" fontId="18" fillId="0" borderId="3" xfId="1" applyNumberFormat="1" applyFont="1" applyFill="1" applyBorder="1" applyAlignment="1">
      <alignment horizontal="left"/>
    </xf>
    <xf numFmtId="165" fontId="18" fillId="0" borderId="3" xfId="1" applyNumberFormat="1" applyFont="1" applyFill="1" applyBorder="1" applyAlignment="1">
      <alignment horizontal="right"/>
    </xf>
    <xf numFmtId="1" fontId="16" fillId="0" borderId="0" xfId="0" applyNumberFormat="1" applyFont="1" applyFill="1" applyAlignment="1">
      <alignment horizontal="center"/>
    </xf>
    <xf numFmtId="1" fontId="18" fillId="0" borderId="0" xfId="1" applyNumberFormat="1" applyFont="1" applyFill="1" applyAlignment="1">
      <alignment horizontal="center"/>
    </xf>
    <xf numFmtId="1" fontId="16" fillId="0" borderId="0" xfId="1" applyNumberFormat="1" applyFont="1" applyFill="1" applyAlignment="1">
      <alignment horizontal="center"/>
    </xf>
    <xf numFmtId="1" fontId="18" fillId="0" borderId="0" xfId="0" applyNumberFormat="1" applyFont="1" applyFill="1" applyAlignment="1"/>
    <xf numFmtId="166" fontId="2" fillId="0" borderId="1" xfId="1" applyNumberFormat="1" applyFont="1" applyFill="1" applyBorder="1"/>
    <xf numFmtId="1" fontId="22" fillId="0" borderId="10" xfId="0" applyNumberFormat="1" applyFont="1" applyFill="1" applyBorder="1" applyAlignment="1">
      <alignment horizontal="center"/>
    </xf>
    <xf numFmtId="1" fontId="23" fillId="0" borderId="2" xfId="0" applyNumberFormat="1" applyFont="1" applyFill="1" applyBorder="1" applyAlignment="1">
      <alignment horizontal="center"/>
    </xf>
    <xf numFmtId="164" fontId="17" fillId="0" borderId="10" xfId="1" applyNumberFormat="1" applyFont="1" applyFill="1" applyBorder="1" applyAlignment="1">
      <alignment horizontal="right"/>
    </xf>
    <xf numFmtId="1" fontId="22" fillId="0" borderId="2" xfId="0" applyNumberFormat="1" applyFont="1" applyFill="1" applyBorder="1" applyAlignment="1">
      <alignment horizontal="center"/>
    </xf>
    <xf numFmtId="166" fontId="17" fillId="0" borderId="1" xfId="1" applyNumberFormat="1" applyFont="1" applyFill="1" applyBorder="1"/>
    <xf numFmtId="166" fontId="17" fillId="0" borderId="1" xfId="1" applyNumberFormat="1" applyFont="1" applyFill="1" applyBorder="1" applyAlignment="1">
      <alignment horizontal="right"/>
    </xf>
    <xf numFmtId="0" fontId="5" fillId="0" borderId="0" xfId="0" applyFont="1" applyAlignment="1"/>
    <xf numFmtId="1" fontId="6" fillId="0" borderId="0" xfId="0" applyNumberFormat="1" applyFont="1" applyFill="1" applyAlignment="1"/>
    <xf numFmtId="0" fontId="4" fillId="0" borderId="0" xfId="0" applyFont="1"/>
    <xf numFmtId="43" fontId="9" fillId="0" borderId="2" xfId="1" applyFont="1" applyBorder="1" applyProtection="1">
      <protection locked="0"/>
    </xf>
    <xf numFmtId="0" fontId="27" fillId="0" borderId="0" xfId="0" applyFont="1" applyAlignment="1">
      <alignment vertical="center"/>
    </xf>
    <xf numFmtId="0" fontId="29" fillId="0" borderId="0" xfId="0" applyFont="1" applyBorder="1" applyAlignment="1">
      <alignment horizontal="left"/>
    </xf>
    <xf numFmtId="0" fontId="30" fillId="0" borderId="0" xfId="0" applyFont="1"/>
    <xf numFmtId="10" fontId="9" fillId="0" borderId="2" xfId="0" applyNumberFormat="1" applyFont="1" applyBorder="1"/>
    <xf numFmtId="0" fontId="27" fillId="0" borderId="0" xfId="0" applyFont="1" applyAlignment="1">
      <alignment horizontal="left"/>
    </xf>
    <xf numFmtId="0" fontId="29" fillId="0" borderId="0" xfId="0" applyFont="1" applyBorder="1" applyAlignment="1">
      <alignment horizontal="left" wrapText="1"/>
    </xf>
    <xf numFmtId="9" fontId="9" fillId="0" borderId="0" xfId="0" applyNumberFormat="1" applyFont="1"/>
    <xf numFmtId="167" fontId="9" fillId="4" borderId="2" xfId="0" applyNumberFormat="1" applyFont="1" applyFill="1" applyBorder="1"/>
    <xf numFmtId="167" fontId="9" fillId="0" borderId="0" xfId="0" applyNumberFormat="1" applyFont="1"/>
    <xf numFmtId="0" fontId="9" fillId="0" borderId="2" xfId="0" applyFont="1" applyBorder="1"/>
    <xf numFmtId="38" fontId="9" fillId="4" borderId="2" xfId="0" applyNumberFormat="1" applyFont="1" applyFill="1" applyBorder="1" applyProtection="1"/>
    <xf numFmtId="40" fontId="4" fillId="0" borderId="0" xfId="0" applyNumberFormat="1" applyFont="1"/>
    <xf numFmtId="0" fontId="26" fillId="0" borderId="0" xfId="0" applyFont="1" applyFill="1" applyBorder="1" applyAlignment="1">
      <alignment horizontal="left"/>
    </xf>
    <xf numFmtId="38" fontId="9" fillId="0" borderId="0" xfId="0" applyNumberFormat="1" applyFont="1" applyBorder="1"/>
    <xf numFmtId="0" fontId="31" fillId="6" borderId="2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 wrapText="1"/>
    </xf>
    <xf numFmtId="168" fontId="4" fillId="0" borderId="0" xfId="0" applyNumberFormat="1" applyFont="1"/>
    <xf numFmtId="0" fontId="4" fillId="0" borderId="2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right" wrapText="1"/>
    </xf>
    <xf numFmtId="38" fontId="4" fillId="0" borderId="2" xfId="0" applyNumberFormat="1" applyFont="1" applyFill="1" applyBorder="1" applyAlignment="1">
      <alignment horizontal="right"/>
    </xf>
    <xf numFmtId="1" fontId="4" fillId="0" borderId="2" xfId="0" applyNumberFormat="1" applyFont="1" applyFill="1" applyBorder="1" applyAlignment="1">
      <alignment horizontal="right"/>
    </xf>
    <xf numFmtId="1" fontId="4" fillId="0" borderId="0" xfId="0" applyNumberFormat="1" applyFont="1"/>
    <xf numFmtId="0" fontId="4" fillId="7" borderId="2" xfId="0" applyFont="1" applyFill="1" applyBorder="1" applyAlignment="1">
      <alignment horizontal="right"/>
    </xf>
    <xf numFmtId="38" fontId="4" fillId="7" borderId="2" xfId="0" applyNumberFormat="1" applyFont="1" applyFill="1" applyBorder="1" applyAlignment="1">
      <alignment horizontal="right"/>
    </xf>
    <xf numFmtId="1" fontId="4" fillId="7" borderId="2" xfId="0" applyNumberFormat="1" applyFont="1" applyFill="1" applyBorder="1" applyAlignment="1">
      <alignment horizontal="right"/>
    </xf>
    <xf numFmtId="17" fontId="4" fillId="0" borderId="0" xfId="0" applyNumberFormat="1" applyFont="1"/>
    <xf numFmtId="1" fontId="4" fillId="0" borderId="2" xfId="0" applyNumberFormat="1" applyFont="1" applyFill="1" applyBorder="1"/>
    <xf numFmtId="1" fontId="4" fillId="7" borderId="2" xfId="0" applyNumberFormat="1" applyFont="1" applyFill="1" applyBorder="1"/>
    <xf numFmtId="169" fontId="4" fillId="0" borderId="0" xfId="0" applyNumberFormat="1" applyFont="1"/>
    <xf numFmtId="170" fontId="4" fillId="0" borderId="0" xfId="0" applyNumberFormat="1" applyFont="1"/>
    <xf numFmtId="17" fontId="4" fillId="0" borderId="0" xfId="0" applyNumberFormat="1" applyFont="1" applyFill="1"/>
    <xf numFmtId="0" fontId="4" fillId="0" borderId="0" xfId="0" applyFont="1" applyFill="1"/>
    <xf numFmtId="1" fontId="4" fillId="0" borderId="0" xfId="0" applyNumberFormat="1" applyFont="1" applyFill="1"/>
    <xf numFmtId="165" fontId="17" fillId="0" borderId="9" xfId="1" applyNumberFormat="1" applyFont="1" applyFill="1" applyBorder="1" applyAlignment="1">
      <alignment horizontal="right"/>
    </xf>
    <xf numFmtId="1" fontId="20" fillId="0" borderId="1" xfId="0" applyNumberFormat="1" applyFont="1" applyFill="1" applyBorder="1"/>
    <xf numFmtId="1" fontId="18" fillId="0" borderId="10" xfId="1" applyNumberFormat="1" applyFont="1" applyFill="1" applyBorder="1"/>
    <xf numFmtId="1" fontId="22" fillId="0" borderId="1" xfId="0" applyNumberFormat="1" applyFont="1" applyFill="1" applyBorder="1" applyAlignment="1">
      <alignment horizontal="center"/>
    </xf>
    <xf numFmtId="165" fontId="17" fillId="0" borderId="0" xfId="1" applyNumberFormat="1" applyFont="1" applyFill="1" applyBorder="1"/>
    <xf numFmtId="1" fontId="16" fillId="0" borderId="0" xfId="0" applyNumberFormat="1" applyFont="1" applyFill="1" applyAlignment="1">
      <alignment horizontal="center"/>
    </xf>
    <xf numFmtId="1" fontId="18" fillId="0" borderId="0" xfId="1" applyNumberFormat="1" applyFont="1" applyFill="1" applyAlignment="1">
      <alignment horizontal="center"/>
    </xf>
    <xf numFmtId="1" fontId="16" fillId="0" borderId="0" xfId="1" applyNumberFormat="1" applyFont="1" applyFill="1" applyAlignment="1">
      <alignment horizontal="center"/>
    </xf>
    <xf numFmtId="0" fontId="4" fillId="0" borderId="0" xfId="0" applyFont="1" applyFill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1" fontId="4" fillId="0" borderId="0" xfId="0" applyNumberFormat="1" applyFont="1" applyFill="1" applyBorder="1"/>
    <xf numFmtId="1" fontId="4" fillId="0" borderId="0" xfId="0" applyNumberFormat="1" applyFont="1" applyFill="1" applyBorder="1" applyAlignment="1">
      <alignment horizontal="right"/>
    </xf>
    <xf numFmtId="0" fontId="4" fillId="7" borderId="0" xfId="0" applyFont="1" applyFill="1"/>
    <xf numFmtId="1" fontId="4" fillId="7" borderId="0" xfId="0" applyNumberFormat="1" applyFont="1" applyFill="1"/>
    <xf numFmtId="1" fontId="20" fillId="0" borderId="0" xfId="0" applyNumberFormat="1" applyFont="1" applyFill="1" applyBorder="1"/>
    <xf numFmtId="1" fontId="22" fillId="0" borderId="0" xfId="0" applyNumberFormat="1" applyFont="1" applyFill="1" applyBorder="1" applyAlignment="1">
      <alignment horizontal="center"/>
    </xf>
    <xf numFmtId="165" fontId="17" fillId="0" borderId="0" xfId="1" applyNumberFormat="1" applyFont="1" applyFill="1" applyBorder="1" applyAlignment="1">
      <alignment horizontal="right"/>
    </xf>
    <xf numFmtId="165" fontId="16" fillId="0" borderId="0" xfId="1" applyNumberFormat="1" applyFont="1" applyFill="1" applyBorder="1" applyAlignment="1">
      <alignment horizontal="right"/>
    </xf>
    <xf numFmtId="166" fontId="17" fillId="0" borderId="0" xfId="1" applyNumberFormat="1" applyFont="1" applyFill="1" applyBorder="1" applyAlignment="1">
      <alignment horizontal="right"/>
    </xf>
    <xf numFmtId="164" fontId="17" fillId="0" borderId="0" xfId="1" applyNumberFormat="1" applyFont="1" applyFill="1" applyBorder="1" applyAlignment="1">
      <alignment horizontal="right"/>
    </xf>
    <xf numFmtId="10" fontId="17" fillId="0" borderId="0" xfId="0" applyNumberFormat="1" applyFont="1" applyFill="1" applyBorder="1"/>
    <xf numFmtId="43" fontId="17" fillId="0" borderId="0" xfId="1" applyFont="1" applyFill="1" applyBorder="1"/>
    <xf numFmtId="10" fontId="17" fillId="0" borderId="0" xfId="2" applyNumberFormat="1" applyFont="1" applyFill="1" applyBorder="1"/>
    <xf numFmtId="165" fontId="18" fillId="0" borderId="0" xfId="1" applyNumberFormat="1" applyFont="1" applyFill="1" applyBorder="1"/>
    <xf numFmtId="166" fontId="17" fillId="0" borderId="0" xfId="1" applyNumberFormat="1" applyFont="1" applyFill="1" applyBorder="1"/>
    <xf numFmtId="164" fontId="17" fillId="0" borderId="0" xfId="1" applyNumberFormat="1" applyFont="1" applyFill="1" applyBorder="1"/>
    <xf numFmtId="0" fontId="4" fillId="8" borderId="2" xfId="0" applyFont="1" applyFill="1" applyBorder="1" applyAlignment="1">
      <alignment horizontal="right"/>
    </xf>
    <xf numFmtId="0" fontId="9" fillId="8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right" wrapText="1"/>
    </xf>
    <xf numFmtId="38" fontId="4" fillId="8" borderId="2" xfId="0" applyNumberFormat="1" applyFont="1" applyFill="1" applyBorder="1" applyAlignment="1">
      <alignment horizontal="right"/>
    </xf>
    <xf numFmtId="1" fontId="4" fillId="8" borderId="2" xfId="0" applyNumberFormat="1" applyFont="1" applyFill="1" applyBorder="1" applyAlignment="1">
      <alignment horizontal="right"/>
    </xf>
    <xf numFmtId="1" fontId="17" fillId="0" borderId="9" xfId="1" applyNumberFormat="1" applyFont="1" applyFill="1" applyBorder="1" applyAlignment="1">
      <alignment horizontal="right"/>
    </xf>
    <xf numFmtId="1" fontId="17" fillId="0" borderId="6" xfId="1" applyNumberFormat="1" applyFont="1" applyFill="1" applyBorder="1" applyAlignment="1">
      <alignment horizontal="right"/>
    </xf>
    <xf numFmtId="0" fontId="10" fillId="0" borderId="8" xfId="0" applyFont="1" applyBorder="1"/>
    <xf numFmtId="43" fontId="15" fillId="0" borderId="2" xfId="1" applyFont="1" applyFill="1" applyBorder="1"/>
    <xf numFmtId="1" fontId="16" fillId="0" borderId="0" xfId="0" applyNumberFormat="1" applyFont="1" applyFill="1" applyAlignment="1">
      <alignment horizontal="center"/>
    </xf>
    <xf numFmtId="1" fontId="18" fillId="0" borderId="0" xfId="1" applyNumberFormat="1" applyFont="1" applyFill="1" applyAlignment="1">
      <alignment horizontal="center"/>
    </xf>
    <xf numFmtId="1" fontId="16" fillId="0" borderId="0" xfId="1" applyNumberFormat="1" applyFont="1" applyFill="1" applyAlignment="1">
      <alignment horizontal="center"/>
    </xf>
    <xf numFmtId="165" fontId="15" fillId="0" borderId="0" xfId="1" applyNumberFormat="1" applyFont="1" applyFill="1" applyBorder="1"/>
    <xf numFmtId="1" fontId="32" fillId="0" borderId="2" xfId="0" applyNumberFormat="1" applyFont="1" applyFill="1" applyBorder="1" applyAlignment="1">
      <alignment horizontal="center"/>
    </xf>
    <xf numFmtId="1" fontId="6" fillId="0" borderId="6" xfId="1" applyNumberFormat="1" applyFont="1" applyFill="1" applyBorder="1" applyAlignment="1">
      <alignment horizontal="right"/>
    </xf>
    <xf numFmtId="43" fontId="17" fillId="0" borderId="1" xfId="1" applyNumberFormat="1" applyFont="1" applyFill="1" applyBorder="1"/>
    <xf numFmtId="17" fontId="4" fillId="7" borderId="0" xfId="0" applyNumberFormat="1" applyFont="1" applyFill="1"/>
    <xf numFmtId="0" fontId="13" fillId="0" borderId="0" xfId="0" applyFont="1" applyBorder="1"/>
    <xf numFmtId="1" fontId="18" fillId="0" borderId="0" xfId="0" applyNumberFormat="1" applyFont="1" applyFill="1" applyAlignment="1">
      <alignment horizontal="center"/>
    </xf>
    <xf numFmtId="1" fontId="16" fillId="0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left"/>
    </xf>
    <xf numFmtId="1" fontId="18" fillId="0" borderId="0" xfId="1" applyNumberFormat="1" applyFont="1" applyFill="1" applyAlignment="1">
      <alignment horizontal="center"/>
    </xf>
    <xf numFmtId="1" fontId="16" fillId="0" borderId="0" xfId="1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/>
    </xf>
    <xf numFmtId="1" fontId="14" fillId="0" borderId="0" xfId="0" applyNumberFormat="1" applyFont="1" applyFill="1" applyAlignment="1">
      <alignment horizontal="center" wrapText="1"/>
    </xf>
    <xf numFmtId="0" fontId="26" fillId="3" borderId="12" xfId="0" applyFont="1" applyFill="1" applyBorder="1" applyAlignment="1">
      <alignment horizontal="left"/>
    </xf>
    <xf numFmtId="0" fontId="26" fillId="3" borderId="14" xfId="0" applyFont="1" applyFill="1" applyBorder="1" applyAlignment="1">
      <alignment horizontal="left"/>
    </xf>
    <xf numFmtId="0" fontId="31" fillId="5" borderId="12" xfId="0" applyFont="1" applyFill="1" applyBorder="1" applyAlignment="1">
      <alignment horizontal="center"/>
    </xf>
    <xf numFmtId="0" fontId="31" fillId="5" borderId="13" xfId="0" applyFont="1" applyFill="1" applyBorder="1" applyAlignment="1">
      <alignment horizontal="center"/>
    </xf>
    <xf numFmtId="0" fontId="31" fillId="5" borderId="14" xfId="0" applyFont="1" applyFill="1" applyBorder="1" applyAlignment="1">
      <alignment horizontal="center"/>
    </xf>
    <xf numFmtId="0" fontId="26" fillId="3" borderId="12" xfId="0" applyFont="1" applyFill="1" applyBorder="1" applyAlignment="1">
      <alignment horizontal="left" wrapText="1"/>
    </xf>
    <xf numFmtId="0" fontId="26" fillId="3" borderId="14" xfId="0" applyFont="1" applyFill="1" applyBorder="1" applyAlignment="1">
      <alignment horizontal="left" wrapText="1"/>
    </xf>
    <xf numFmtId="0" fontId="24" fillId="2" borderId="12" xfId="0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8" fillId="0" borderId="5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28" fillId="0" borderId="15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8" fillId="0" borderId="0" xfId="0" applyFont="1" applyBorder="1" applyAlignment="1">
      <alignment horizontal="center" wrapText="1"/>
    </xf>
    <xf numFmtId="0" fontId="28" fillId="0" borderId="9" xfId="0" applyFont="1" applyBorder="1" applyAlignment="1">
      <alignment horizontal="center" wrapText="1"/>
    </xf>
    <xf numFmtId="0" fontId="28" fillId="0" borderId="16" xfId="0" applyFont="1" applyBorder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right" wrapText="1"/>
    </xf>
    <xf numFmtId="0" fontId="0" fillId="0" borderId="2" xfId="0" applyBorder="1"/>
    <xf numFmtId="1" fontId="9" fillId="0" borderId="2" xfId="0" applyNumberFormat="1" applyFont="1" applyFill="1" applyBorder="1" applyAlignment="1">
      <alignment horizontal="right"/>
    </xf>
    <xf numFmtId="1" fontId="9" fillId="0" borderId="2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19050</xdr:rowOff>
    </xdr:from>
    <xdr:to>
      <xdr:col>10</xdr:col>
      <xdr:colOff>533400</xdr:colOff>
      <xdr:row>48</xdr:row>
      <xdr:rowOff>19050</xdr:rowOff>
    </xdr:to>
    <xdr:sp macro="" textlink="">
      <xdr:nvSpPr>
        <xdr:cNvPr id="11265" name="Text Box 1">
          <a:extLst/>
        </xdr:cNvPr>
        <xdr:cNvSpPr txBox="1">
          <a:spLocks noChangeArrowheads="1"/>
        </xdr:cNvSpPr>
      </xdr:nvSpPr>
      <xdr:spPr bwMode="auto">
        <a:xfrm>
          <a:off x="114300" y="19050"/>
          <a:ext cx="6515100" cy="777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2600" b="1" i="0" strike="noStrike">
              <a:solidFill>
                <a:srgbClr val="000000"/>
              </a:solidFill>
              <a:latin typeface="Calibri"/>
            </a:rPr>
            <a:t>PROJECT REPORT</a:t>
          </a:r>
          <a:endParaRPr lang="en-US" sz="28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2800" b="1" i="0" strike="noStrike">
              <a:solidFill>
                <a:srgbClr val="000000"/>
              </a:solidFill>
              <a:latin typeface="Times New Roman"/>
              <a:cs typeface="Times New Roman"/>
            </a:rPr>
            <a:t>OF</a:t>
          </a:r>
        </a:p>
        <a:p>
          <a:pPr algn="l" rtl="1">
            <a:defRPr sz="1000"/>
          </a:pPr>
          <a:endParaRPr lang="en-US" sz="26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2800" b="1" i="0" strike="noStrike">
              <a:solidFill>
                <a:srgbClr val="000000"/>
              </a:solidFill>
              <a:latin typeface="Times New Roman"/>
              <a:cs typeface="Times New Roman"/>
            </a:rPr>
            <a:t>‘</a:t>
          </a:r>
          <a:r>
            <a:rPr lang="en-US" sz="2800" b="1" i="0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M/S </a:t>
          </a:r>
          <a:r>
            <a:rPr lang="en-IN" sz="2800" b="1" i="0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SHREE ENTERPRISES</a:t>
          </a:r>
          <a:r>
            <a:rPr lang="en-US" sz="2700" b="1" i="0" strike="noStrike">
              <a:solidFill>
                <a:srgbClr val="000000"/>
              </a:solidFill>
              <a:latin typeface="Times New Roman"/>
              <a:cs typeface="Times New Roman"/>
            </a:rPr>
            <a:t>’</a:t>
          </a: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2200" b="1" i="0" strike="noStrike">
              <a:solidFill>
                <a:srgbClr val="000000"/>
              </a:solidFill>
              <a:latin typeface="+mn-lt"/>
            </a:rPr>
            <a:t>(PROPRIETOR: MRS.TANUJA SINGH)  </a:t>
          </a: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Calibri"/>
            </a:rPr>
            <a:t>                                                                                              </a:t>
          </a:r>
          <a:endParaRPr lang="en-US" sz="20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2600" b="1" i="0" strike="noStrike">
              <a:solidFill>
                <a:srgbClr val="000000"/>
              </a:solidFill>
              <a:latin typeface="Calibri"/>
            </a:rPr>
            <a:t>DATE : 18-09-2026</a:t>
          </a:r>
        </a:p>
        <a:p>
          <a:pPr algn="l" rtl="1">
            <a:defRPr sz="1000"/>
          </a:pPr>
          <a:endParaRPr lang="en-US" sz="2600" b="1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26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                                                                                 </a:t>
          </a: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2200" b="1" i="0" strike="noStrike">
              <a:solidFill>
                <a:srgbClr val="000000"/>
              </a:solidFill>
              <a:latin typeface="Times New Roman"/>
              <a:cs typeface="Times New Roman"/>
            </a:rPr>
            <a:t>’</a:t>
          </a:r>
        </a:p>
        <a:p>
          <a:pPr algn="l" rtl="1">
            <a:defRPr sz="1000"/>
          </a:pPr>
          <a:endParaRPr lang="en-US" sz="26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26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2200" b="1" i="0" strike="noStrike">
              <a:solidFill>
                <a:srgbClr val="000000"/>
              </a:solidFill>
              <a:latin typeface="Times New Roman"/>
              <a:cs typeface="Times New Roman"/>
            </a:rPr>
            <a:t>F.Y:  2005 - 2006.</a:t>
          </a:r>
        </a:p>
        <a:p>
          <a:pPr algn="l" rtl="1">
            <a:defRPr sz="1000"/>
          </a:pPr>
          <a:endParaRPr lang="en-US" sz="22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</xdr:row>
      <xdr:rowOff>47625</xdr:rowOff>
    </xdr:from>
    <xdr:to>
      <xdr:col>4</xdr:col>
      <xdr:colOff>695325</xdr:colOff>
      <xdr:row>4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3048000" y="419100"/>
          <a:ext cx="581025" cy="228600"/>
        </a:xfrm>
        <a:prstGeom prst="leftArrow">
          <a:avLst>
            <a:gd name="adj1" fmla="val 50000"/>
            <a:gd name="adj2" fmla="val 635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5</xdr:row>
      <xdr:rowOff>266700</xdr:rowOff>
    </xdr:from>
    <xdr:to>
      <xdr:col>4</xdr:col>
      <xdr:colOff>695325</xdr:colOff>
      <xdr:row>5</xdr:row>
      <xdr:rowOff>476250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3048000" y="962025"/>
          <a:ext cx="581025" cy="209550"/>
        </a:xfrm>
        <a:prstGeom prst="leftArrow">
          <a:avLst>
            <a:gd name="adj1" fmla="val 50000"/>
            <a:gd name="adj2" fmla="val 6931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9</xdr:row>
      <xdr:rowOff>9525</xdr:rowOff>
    </xdr:from>
    <xdr:to>
      <xdr:col>4</xdr:col>
      <xdr:colOff>695325</xdr:colOff>
      <xdr:row>9</xdr:row>
      <xdr:rowOff>219075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3048000" y="1743075"/>
          <a:ext cx="581025" cy="209550"/>
        </a:xfrm>
        <a:prstGeom prst="leftArrow">
          <a:avLst>
            <a:gd name="adj1" fmla="val 50000"/>
            <a:gd name="adj2" fmla="val 6931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3</xdr:row>
      <xdr:rowOff>47625</xdr:rowOff>
    </xdr:from>
    <xdr:to>
      <xdr:col>4</xdr:col>
      <xdr:colOff>695325</xdr:colOff>
      <xdr:row>4</xdr:row>
      <xdr:rowOff>0</xdr:rowOff>
    </xdr:to>
    <xdr:sp macro="" textlink="">
      <xdr:nvSpPr>
        <xdr:cNvPr id="5" name="AutoShape 1"/>
        <xdr:cNvSpPr>
          <a:spLocks noChangeArrowheads="1"/>
        </xdr:cNvSpPr>
      </xdr:nvSpPr>
      <xdr:spPr bwMode="auto">
        <a:xfrm>
          <a:off x="2838450" y="419100"/>
          <a:ext cx="581025" cy="228600"/>
        </a:xfrm>
        <a:prstGeom prst="leftArrow">
          <a:avLst>
            <a:gd name="adj1" fmla="val 50000"/>
            <a:gd name="adj2" fmla="val 635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5</xdr:row>
      <xdr:rowOff>266700</xdr:rowOff>
    </xdr:from>
    <xdr:to>
      <xdr:col>4</xdr:col>
      <xdr:colOff>695325</xdr:colOff>
      <xdr:row>5</xdr:row>
      <xdr:rowOff>476250</xdr:rowOff>
    </xdr:to>
    <xdr:sp macro="" textlink="">
      <xdr:nvSpPr>
        <xdr:cNvPr id="6" name="AutoShape 2"/>
        <xdr:cNvSpPr>
          <a:spLocks noChangeArrowheads="1"/>
        </xdr:cNvSpPr>
      </xdr:nvSpPr>
      <xdr:spPr bwMode="auto">
        <a:xfrm>
          <a:off x="2838450" y="962025"/>
          <a:ext cx="581025" cy="209550"/>
        </a:xfrm>
        <a:prstGeom prst="leftArrow">
          <a:avLst>
            <a:gd name="adj1" fmla="val 50000"/>
            <a:gd name="adj2" fmla="val 6931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9</xdr:row>
      <xdr:rowOff>9525</xdr:rowOff>
    </xdr:from>
    <xdr:to>
      <xdr:col>4</xdr:col>
      <xdr:colOff>695325</xdr:colOff>
      <xdr:row>9</xdr:row>
      <xdr:rowOff>219075</xdr:rowOff>
    </xdr:to>
    <xdr:sp macro="" textlink="">
      <xdr:nvSpPr>
        <xdr:cNvPr id="7" name="AutoShape 3"/>
        <xdr:cNvSpPr>
          <a:spLocks noChangeArrowheads="1"/>
        </xdr:cNvSpPr>
      </xdr:nvSpPr>
      <xdr:spPr bwMode="auto">
        <a:xfrm>
          <a:off x="2838450" y="1743075"/>
          <a:ext cx="581025" cy="209550"/>
        </a:xfrm>
        <a:prstGeom prst="leftArrow">
          <a:avLst>
            <a:gd name="adj1" fmla="val 50000"/>
            <a:gd name="adj2" fmla="val 6931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</xdr:row>
      <xdr:rowOff>47625</xdr:rowOff>
    </xdr:from>
    <xdr:to>
      <xdr:col>4</xdr:col>
      <xdr:colOff>695325</xdr:colOff>
      <xdr:row>4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3048000" y="419100"/>
          <a:ext cx="581025" cy="228600"/>
        </a:xfrm>
        <a:prstGeom prst="leftArrow">
          <a:avLst>
            <a:gd name="adj1" fmla="val 50000"/>
            <a:gd name="adj2" fmla="val 635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5</xdr:row>
      <xdr:rowOff>266700</xdr:rowOff>
    </xdr:from>
    <xdr:to>
      <xdr:col>4</xdr:col>
      <xdr:colOff>695325</xdr:colOff>
      <xdr:row>5</xdr:row>
      <xdr:rowOff>476250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3048000" y="962025"/>
          <a:ext cx="581025" cy="209550"/>
        </a:xfrm>
        <a:prstGeom prst="leftArrow">
          <a:avLst>
            <a:gd name="adj1" fmla="val 50000"/>
            <a:gd name="adj2" fmla="val 6931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9</xdr:row>
      <xdr:rowOff>9525</xdr:rowOff>
    </xdr:from>
    <xdr:to>
      <xdr:col>4</xdr:col>
      <xdr:colOff>695325</xdr:colOff>
      <xdr:row>9</xdr:row>
      <xdr:rowOff>219075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3048000" y="1743075"/>
          <a:ext cx="581025" cy="209550"/>
        </a:xfrm>
        <a:prstGeom prst="leftArrow">
          <a:avLst>
            <a:gd name="adj1" fmla="val 50000"/>
            <a:gd name="adj2" fmla="val 6931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%20S%20&amp;%20Solutions%20F.Y%2017-18/NET%20WORTH%20CERTIFICATE/PROJECT%20REPORT/AKSHAY%20PATIL/TERM%20LOAN%20CALCULATOR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 Calculator"/>
    </sheetNames>
    <sheetDataSet>
      <sheetData sheetId="0">
        <row r="4">
          <cell r="D4">
            <v>1700000</v>
          </cell>
        </row>
        <row r="5">
          <cell r="D5">
            <v>0.123</v>
          </cell>
        </row>
        <row r="6">
          <cell r="D6">
            <v>7</v>
          </cell>
        </row>
        <row r="7">
          <cell r="D7">
            <v>43405</v>
          </cell>
        </row>
        <row r="17">
          <cell r="A17" t="str">
            <v>No.</v>
          </cell>
          <cell r="B17" t="str">
            <v>Payment Date</v>
          </cell>
          <cell r="C17" t="str">
            <v>Beginning Balance</v>
          </cell>
          <cell r="D17" t="str">
            <v>Scheduled Payment</v>
          </cell>
          <cell r="E17" t="str">
            <v>Extra Payment</v>
          </cell>
          <cell r="F17" t="str">
            <v>Total Payment</v>
          </cell>
          <cell r="G17" t="str">
            <v>Principal</v>
          </cell>
          <cell r="H17" t="str">
            <v>Interest</v>
          </cell>
          <cell r="I17" t="str">
            <v>Ending Balance</v>
          </cell>
        </row>
        <row r="18">
          <cell r="I18">
            <v>1687141.932621731</v>
          </cell>
        </row>
        <row r="19">
          <cell r="I19">
            <v>1674152.0700528345</v>
          </cell>
        </row>
        <row r="20">
          <cell r="I20">
            <v>1661029.0613926069</v>
          </cell>
        </row>
        <row r="21">
          <cell r="I21">
            <v>1647771.5418936119</v>
          </cell>
        </row>
        <row r="22">
          <cell r="I22">
            <v>1634378.1328197522</v>
          </cell>
        </row>
        <row r="23">
          <cell r="I23">
            <v>1620847.4413028855</v>
          </cell>
        </row>
        <row r="24">
          <cell r="I24">
            <v>1607178.0601979711</v>
          </cell>
        </row>
        <row r="25">
          <cell r="I25">
            <v>1593368.567936731</v>
          </cell>
        </row>
        <row r="26">
          <cell r="I26">
            <v>1579417.5283798133</v>
          </cell>
        </row>
        <row r="27">
          <cell r="I27">
            <v>1565323.4906674372</v>
          </cell>
        </row>
        <row r="28">
          <cell r="I28">
            <v>1551084.9890685093</v>
          </cell>
        </row>
        <row r="29">
          <cell r="I29">
            <v>1536700.5428281925</v>
          </cell>
        </row>
        <row r="30">
          <cell r="I30">
            <v>1522168.6560139123</v>
          </cell>
        </row>
        <row r="31">
          <cell r="I31">
            <v>1507487.8173597858</v>
          </cell>
        </row>
        <row r="32">
          <cell r="I32">
            <v>1492656.5001094544</v>
          </cell>
        </row>
        <row r="33">
          <cell r="I33">
            <v>1477673.1618573072</v>
          </cell>
        </row>
        <row r="34">
          <cell r="I34">
            <v>1462536.2443880755</v>
          </cell>
        </row>
        <row r="35">
          <cell r="I35">
            <v>1447244.1735147841</v>
          </cell>
        </row>
        <row r="36">
          <cell r="I36">
            <v>1431795.3589150414</v>
          </cell>
        </row>
        <row r="37">
          <cell r="I37">
            <v>1416188.1939656516</v>
          </cell>
        </row>
        <row r="38">
          <cell r="I38">
            <v>1400421.0555755303</v>
          </cell>
        </row>
        <row r="39">
          <cell r="I39">
            <v>1384492.3040169103</v>
          </cell>
        </row>
        <row r="40">
          <cell r="I40">
            <v>1368400.2827548145</v>
          </cell>
        </row>
        <row r="41">
          <cell r="I41">
            <v>1352143.3182747823</v>
          </cell>
        </row>
        <row r="42">
          <cell r="I42">
            <v>1335719.7199088295</v>
          </cell>
        </row>
        <row r="43">
          <cell r="I43">
            <v>1319127.7796596258</v>
          </cell>
        </row>
        <row r="44">
          <cell r="I44">
            <v>1302365.7720228678</v>
          </cell>
        </row>
        <row r="45">
          <cell r="I45">
            <v>1285431.9538078331</v>
          </cell>
        </row>
        <row r="46">
          <cell r="I46">
            <v>1268324.5639560942</v>
          </cell>
        </row>
        <row r="47">
          <cell r="I47">
            <v>1251041.8233583751</v>
          </cell>
        </row>
        <row r="48">
          <cell r="I48">
            <v>1233581.9346695293</v>
          </cell>
        </row>
        <row r="49">
          <cell r="I49">
            <v>1215943.0821216227</v>
          </cell>
        </row>
        <row r="50">
          <cell r="I50">
            <v>1198123.4313351002</v>
          </cell>
        </row>
        <row r="51">
          <cell r="I51">
            <v>1180121.1291280158</v>
          </cell>
        </row>
        <row r="52">
          <cell r="I52">
            <v>1161934.3033233089</v>
          </cell>
        </row>
        <row r="53">
          <cell r="I53">
            <v>1143561.0625541038</v>
          </cell>
        </row>
        <row r="54">
          <cell r="I54">
            <v>1124999.4960670143</v>
          </cell>
        </row>
        <row r="55">
          <cell r="I55">
            <v>1106247.6735234321</v>
          </cell>
        </row>
        <row r="56">
          <cell r="I56">
            <v>1087303.6447987782</v>
          </cell>
        </row>
        <row r="57">
          <cell r="I57">
            <v>1068165.4397796965</v>
          </cell>
        </row>
        <row r="58">
          <cell r="I58">
            <v>1048831.0681591693</v>
          </cell>
        </row>
        <row r="59">
          <cell r="I59">
            <v>1029298.5192295316</v>
          </cell>
        </row>
        <row r="60">
          <cell r="I60">
            <v>1009565.7616733651</v>
          </cell>
        </row>
        <row r="61">
          <cell r="I61">
            <v>989630.74335224798</v>
          </cell>
        </row>
        <row r="62">
          <cell r="I62">
            <v>969491.39109333942</v>
          </cell>
        </row>
        <row r="63">
          <cell r="I63">
            <v>949145.61047377705</v>
          </cell>
        </row>
        <row r="64">
          <cell r="I64">
            <v>928591.28560286411</v>
          </cell>
        </row>
        <row r="65">
          <cell r="I65">
            <v>907826.27890202426</v>
          </cell>
        </row>
        <row r="66">
          <cell r="I66">
            <v>886848.43088250083</v>
          </cell>
        </row>
        <row r="67">
          <cell r="I67">
            <v>865655.55992077733</v>
          </cell>
        </row>
        <row r="68">
          <cell r="I68">
            <v>844245.46203169611</v>
          </cell>
        </row>
        <row r="69">
          <cell r="I69">
            <v>822615.91063925182</v>
          </cell>
        </row>
        <row r="70">
          <cell r="I70">
            <v>800764.65634503495</v>
          </cell>
        </row>
        <row r="71">
          <cell r="I71">
            <v>778689.42669430235</v>
          </cell>
        </row>
        <row r="72">
          <cell r="I72">
            <v>756387.92593964981</v>
          </cell>
        </row>
        <row r="73">
          <cell r="I73">
            <v>733857.83480226202</v>
          </cell>
        </row>
        <row r="74">
          <cell r="I74">
            <v>711096.81023071602</v>
          </cell>
        </row>
        <row r="75">
          <cell r="I75">
            <v>688102.48515731166</v>
          </cell>
        </row>
        <row r="76">
          <cell r="I76">
            <v>664872.46825190494</v>
          </cell>
        </row>
        <row r="77">
          <cell r="I77">
            <v>641404.34367321781</v>
          </cell>
        </row>
        <row r="78">
          <cell r="I78">
            <v>617695.67081759917</v>
          </cell>
        </row>
        <row r="79">
          <cell r="I79">
            <v>593743.98406521045</v>
          </cell>
        </row>
        <row r="80">
          <cell r="I80">
            <v>569546.79252360971</v>
          </cell>
        </row>
        <row r="81">
          <cell r="I81">
            <v>545101.57976870751</v>
          </cell>
        </row>
        <row r="82">
          <cell r="I82">
            <v>520405.80358306761</v>
          </cell>
        </row>
        <row r="83">
          <cell r="I83">
            <v>495456.8956915249</v>
          </cell>
        </row>
        <row r="84">
          <cell r="I84">
            <v>470252.26149409387</v>
          </cell>
        </row>
        <row r="85">
          <cell r="I85">
            <v>444789.27979613916</v>
          </cell>
        </row>
        <row r="86">
          <cell r="I86">
            <v>419065.30253578041</v>
          </cell>
        </row>
        <row r="87">
          <cell r="I87">
            <v>393077.65450850304</v>
          </cell>
        </row>
        <row r="88">
          <cell r="I88">
            <v>366823.63308894605</v>
          </cell>
        </row>
        <row r="89">
          <cell r="I89">
            <v>340300.50794983859</v>
          </cell>
        </row>
        <row r="90">
          <cell r="I90">
            <v>313505.5207780553</v>
          </cell>
        </row>
        <row r="91">
          <cell r="I91">
            <v>286435.88498776121</v>
          </cell>
        </row>
        <row r="92">
          <cell r="I92">
            <v>259088.78543061661</v>
          </cell>
        </row>
        <row r="93">
          <cell r="I93">
            <v>231461.37810301129</v>
          </cell>
        </row>
        <row r="94">
          <cell r="I94">
            <v>203550.789850298</v>
          </cell>
        </row>
        <row r="95">
          <cell r="I95">
            <v>175354.11806799439</v>
          </cell>
        </row>
        <row r="96">
          <cell r="I96">
            <v>146868.43039992219</v>
          </cell>
        </row>
        <row r="97">
          <cell r="I97">
            <v>118090.76443325225</v>
          </cell>
        </row>
        <row r="98">
          <cell r="I98">
            <v>89018.127390423935</v>
          </cell>
        </row>
        <row r="99">
          <cell r="I99">
            <v>59647.495817906631</v>
          </cell>
        </row>
        <row r="100">
          <cell r="I100">
            <v>29975.815271771022</v>
          </cell>
        </row>
        <row r="101">
          <cell r="I101">
            <v>3.7522113416343927E-8</v>
          </cell>
        </row>
        <row r="102">
          <cell r="I102">
            <v>-30283.067378231244</v>
          </cell>
        </row>
        <row r="103">
          <cell r="I103">
            <v>-60876.536197127265</v>
          </cell>
        </row>
        <row r="104">
          <cell r="I104">
            <v>-91783.588071416976</v>
          </cell>
        </row>
        <row r="105">
          <cell r="I105">
            <v>-123007.43722741815</v>
          </cell>
        </row>
        <row r="106">
          <cell r="I106">
            <v>-154551.33083726832</v>
          </cell>
        </row>
        <row r="107">
          <cell r="I107">
            <v>-186418.54935661948</v>
          </cell>
        </row>
        <row r="108">
          <cell r="I108">
            <v>-218612.40686579398</v>
          </cell>
        </row>
        <row r="109">
          <cell r="I109">
            <v>-251136.25141443752</v>
          </cell>
        </row>
        <row r="110">
          <cell r="I110">
            <v>-283993.46536970465</v>
          </cell>
        </row>
        <row r="111">
          <cell r="I111">
            <v>-317187.46576801327</v>
          </cell>
        </row>
        <row r="112">
          <cell r="I112">
            <v>-350721.70467040455</v>
          </cell>
        </row>
        <row r="113">
          <cell r="I113">
            <v>-384599.66952154535</v>
          </cell>
        </row>
        <row r="114">
          <cell r="I114">
            <v>-418824.88351241034</v>
          </cell>
        </row>
        <row r="115">
          <cell r="I115">
            <v>-453400.90594668168</v>
          </cell>
        </row>
        <row r="116">
          <cell r="I116">
            <v>-488331.33261090436</v>
          </cell>
        </row>
        <row r="117">
          <cell r="I117">
            <v>-523619.79614843527</v>
          </cell>
        </row>
        <row r="118">
          <cell r="I118">
            <v>-559269.96643722593</v>
          </cell>
        </row>
        <row r="119">
          <cell r="I119">
            <v>-595285.55097147659</v>
          </cell>
        </row>
        <row r="120">
          <cell r="I120">
            <v>-631670.29524720344</v>
          </cell>
        </row>
        <row r="121">
          <cell r="I121">
            <v>-668427.98315175646</v>
          </cell>
        </row>
        <row r="122">
          <cell r="I122">
            <v>-705562.43735733116</v>
          </cell>
        </row>
        <row r="123">
          <cell r="I123">
            <v>-743077.51971851301</v>
          </cell>
        </row>
        <row r="124">
          <cell r="I124">
            <v>-780977.13167389692</v>
          </cell>
        </row>
        <row r="125">
          <cell r="I125">
            <v>-819265.21465182351</v>
          </cell>
        </row>
        <row r="126">
          <cell r="I126">
            <v>-857945.75048027385</v>
          </cell>
        </row>
        <row r="127">
          <cell r="I127">
            <v>-897022.76180096576</v>
          </cell>
        </row>
        <row r="128">
          <cell r="I128">
            <v>-936500.31248769478</v>
          </cell>
        </row>
        <row r="129">
          <cell r="I129">
            <v>-976382.50806896284</v>
          </cell>
        </row>
        <row r="130">
          <cell r="I130">
            <v>-1016673.4961549388</v>
          </cell>
        </row>
        <row r="131">
          <cell r="I131">
            <v>-1057377.4668687962</v>
          </cell>
        </row>
        <row r="132">
          <cell r="I132">
            <v>-1098498.6532824705</v>
          </cell>
        </row>
        <row r="133">
          <cell r="I133">
            <v>-1140041.331856885</v>
          </cell>
        </row>
        <row r="134">
          <cell r="I134">
            <v>-1182009.8228866872</v>
          </cell>
        </row>
        <row r="135">
          <cell r="I135">
            <v>-1224408.4909495448</v>
          </cell>
        </row>
        <row r="136">
          <cell r="I136">
            <v>-1267241.7453600469</v>
          </cell>
        </row>
        <row r="137">
          <cell r="I137">
            <v>-1310514.0406282565</v>
          </cell>
        </row>
        <row r="138">
          <cell r="I138">
            <v>-1354229.8769229653</v>
          </cell>
        </row>
        <row r="139">
          <cell r="I139">
            <v>-1398393.8005396947</v>
          </cell>
        </row>
        <row r="140">
          <cell r="I140">
            <v>-1443010.4043734958</v>
          </cell>
        </row>
        <row r="141">
          <cell r="I141">
            <v>-1488084.3283965932</v>
          </cell>
        </row>
        <row r="142">
          <cell r="I142">
            <v>-1533620.2601409275</v>
          </cell>
        </row>
        <row r="143">
          <cell r="I143">
            <v>-1579622.9351856411</v>
          </cell>
        </row>
        <row r="144">
          <cell r="I144">
            <v>-1626097.1376495631</v>
          </cell>
        </row>
        <row r="145">
          <cell r="I145">
            <v>-1673047.7006887402</v>
          </cell>
        </row>
        <row r="146">
          <cell r="I146">
            <v>-1720479.5069990689</v>
          </cell>
        </row>
        <row r="147">
          <cell r="I147">
            <v>-1768397.4893240784</v>
          </cell>
        </row>
        <row r="148">
          <cell r="I148">
            <v>-1816806.6309679195</v>
          </cell>
        </row>
        <row r="149">
          <cell r="I149">
            <v>-1865711.9663136099</v>
          </cell>
        </row>
        <row r="150">
          <cell r="I150">
            <v>-1915118.5813465936</v>
          </cell>
        </row>
        <row r="151">
          <cell r="I151">
            <v>-1965031.6141836653</v>
          </cell>
        </row>
        <row r="152">
          <cell r="I152">
            <v>-2015456.255607317</v>
          </cell>
        </row>
        <row r="153">
          <cell r="I153">
            <v>-2066397.7496055611</v>
          </cell>
        </row>
        <row r="154">
          <cell r="I154">
            <v>-2117861.3939172872</v>
          </cell>
        </row>
        <row r="155">
          <cell r="I155">
            <v>-2169852.5405832087</v>
          </cell>
        </row>
        <row r="156">
          <cell r="I156">
            <v>-2222376.5965024559</v>
          </cell>
        </row>
        <row r="157">
          <cell r="I157">
            <v>-2275439.0239948751</v>
          </cell>
        </row>
        <row r="158">
          <cell r="I158">
            <v>-2329045.3413690915</v>
          </cell>
        </row>
        <row r="159">
          <cell r="I159">
            <v>-2383201.1234963937</v>
          </cell>
        </row>
        <row r="160">
          <cell r="I160">
            <v>-2437912.0023905011</v>
          </cell>
        </row>
        <row r="161">
          <cell r="I161">
            <v>-2493183.667793273</v>
          </cell>
        </row>
        <row r="162">
          <cell r="I162">
            <v>-2549021.8677664232</v>
          </cell>
        </row>
        <row r="163">
          <cell r="I163">
            <v>-2605432.4092892981</v>
          </cell>
        </row>
        <row r="164">
          <cell r="I164">
            <v>-2662421.1588627826</v>
          </cell>
        </row>
        <row r="165">
          <cell r="I165">
            <v>-2719994.0431193952</v>
          </cell>
        </row>
        <row r="166">
          <cell r="I166">
            <v>-2778157.0494396379</v>
          </cell>
        </row>
        <row r="167">
          <cell r="I167">
            <v>-2836916.2265746635</v>
          </cell>
        </row>
        <row r="168">
          <cell r="I168">
            <v>-2896277.6852753228</v>
          </cell>
        </row>
        <row r="169">
          <cell r="I169">
            <v>-2956247.5989276641</v>
          </cell>
        </row>
        <row r="170">
          <cell r="I170">
            <v>-3016832.204194942</v>
          </cell>
        </row>
        <row r="171">
          <cell r="I171">
            <v>-3078037.8016662095</v>
          </cell>
        </row>
        <row r="172">
          <cell r="I172">
            <v>-3139870.7565115574</v>
          </cell>
        </row>
        <row r="173">
          <cell r="I173">
            <v>-3202337.4991440699</v>
          </cell>
        </row>
        <row r="174">
          <cell r="I174">
            <v>-3265444.5258885659</v>
          </cell>
        </row>
        <row r="175">
          <cell r="I175">
            <v>-3329198.3996571931</v>
          </cell>
        </row>
        <row r="176">
          <cell r="I176">
            <v>-3393605.7506319485</v>
          </cell>
        </row>
        <row r="177">
          <cell r="I177">
            <v>-3458673.276954195</v>
          </cell>
        </row>
        <row r="178">
          <cell r="I178">
            <v>-3524407.7454212448</v>
          </cell>
        </row>
        <row r="179">
          <cell r="I179">
            <v>-3590815.9921900816</v>
          </cell>
        </row>
        <row r="180">
          <cell r="I180">
            <v>-3657904.9234882989</v>
          </cell>
        </row>
        <row r="181">
          <cell r="I181">
            <v>-3725681.5163323232</v>
          </cell>
        </row>
        <row r="182">
          <cell r="I182">
            <v>-3794152.8192529986</v>
          </cell>
        </row>
        <row r="183">
          <cell r="I183">
            <v>-3863325.9530286109</v>
          </cell>
        </row>
        <row r="184">
          <cell r="I184">
            <v>-3933208.1114254235</v>
          </cell>
        </row>
        <row r="185">
          <cell r="I185">
            <v>-4003806.5619458035</v>
          </cell>
        </row>
        <row r="186">
          <cell r="I186">
            <v>-4075128.6465840172</v>
          </cell>
        </row>
        <row r="187">
          <cell r="I187">
            <v>-4147181.7825897727</v>
          </cell>
        </row>
        <row r="188">
          <cell r="I188">
            <v>-4219973.4632395869</v>
          </cell>
        </row>
        <row r="189">
          <cell r="I189">
            <v>-4293511.2586160619</v>
          </cell>
        </row>
        <row r="190">
          <cell r="I190">
            <v>-4367802.8163951458</v>
          </cell>
        </row>
        <row r="191">
          <cell r="I191">
            <v>-4442855.8626414649</v>
          </cell>
        </row>
        <row r="192">
          <cell r="I192">
            <v>-4518678.2026118087</v>
          </cell>
        </row>
        <row r="193">
          <cell r="I193">
            <v>-4595277.7215668485</v>
          </cell>
        </row>
        <row r="194">
          <cell r="I194">
            <v>-4672662.3855911782</v>
          </cell>
        </row>
        <row r="195">
          <cell r="I195">
            <v>-4750840.2424217565</v>
          </cell>
        </row>
        <row r="196">
          <cell r="I196">
            <v>-4829819.422284849</v>
          </cell>
        </row>
        <row r="197">
          <cell r="I197">
            <v>-4909608.1387415379</v>
          </cell>
        </row>
        <row r="198">
          <cell r="I198">
            <v>-4990214.689541908</v>
          </cell>
        </row>
        <row r="199">
          <cell r="I199">
            <v>-5071647.4574879818</v>
          </cell>
        </row>
        <row r="200">
          <cell r="I200">
            <v>-5153914.911305503</v>
          </cell>
        </row>
        <row r="201">
          <cell r="I201">
            <v>-5237025.6065246537</v>
          </cell>
        </row>
        <row r="202">
          <cell r="I202">
            <v>-5320988.1863698009</v>
          </cell>
        </row>
        <row r="203">
          <cell r="I203">
            <v>-5405811.3826583605</v>
          </cell>
        </row>
        <row r="204">
          <cell r="I204">
            <v>-5491504.0167088779</v>
          </cell>
        </row>
        <row r="205">
          <cell r="I205">
            <v>-5578075.0002584131</v>
          </cell>
        </row>
        <row r="206">
          <cell r="I206">
            <v>-5665533.3363893311</v>
          </cell>
        </row>
        <row r="207">
          <cell r="I207">
            <v>-5753888.1204655906</v>
          </cell>
        </row>
        <row r="208">
          <cell r="I208">
            <v>-5843148.5410786318</v>
          </cell>
        </row>
        <row r="209">
          <cell r="I209">
            <v>-5933323.881002957</v>
          </cell>
        </row>
        <row r="210">
          <cell r="I210">
            <v>-6024423.5181615064</v>
          </cell>
        </row>
        <row r="211">
          <cell r="I211">
            <v>-6116456.9266009312</v>
          </cell>
        </row>
        <row r="212">
          <cell r="I212">
            <v>-6209433.6774768597</v>
          </cell>
        </row>
        <row r="213">
          <cell r="I213">
            <v>-6303363.4400492664</v>
          </cell>
        </row>
        <row r="214">
          <cell r="I214">
            <v>-6398255.9826880405</v>
          </cell>
        </row>
        <row r="215">
          <cell r="I215">
            <v>-6494121.1738888621</v>
          </cell>
        </row>
        <row r="216">
          <cell r="I216">
            <v>-6590968.9832994919</v>
          </cell>
        </row>
        <row r="217">
          <cell r="I217">
            <v>-6688809.4827565812</v>
          </cell>
        </row>
        <row r="218">
          <cell r="I218">
            <v>-6787652.8473331053</v>
          </cell>
        </row>
        <row r="219">
          <cell r="I219">
            <v>-6887509.3563965391</v>
          </cell>
        </row>
        <row r="220">
          <cell r="I220">
            <v>-6988389.3946778728</v>
          </cell>
        </row>
        <row r="221">
          <cell r="I221">
            <v>-7090303.4533515899</v>
          </cell>
        </row>
        <row r="222">
          <cell r="I222">
            <v>-7193262.131126713</v>
          </cell>
        </row>
        <row r="223">
          <cell r="I223">
            <v>-7297276.1353490306</v>
          </cell>
        </row>
        <row r="224">
          <cell r="I224">
            <v>-7402356.283114627</v>
          </cell>
        </row>
        <row r="225">
          <cell r="I225">
            <v>-7508513.5023948215</v>
          </cell>
        </row>
        <row r="226">
          <cell r="I226">
            <v>-7615758.833172638</v>
          </cell>
        </row>
        <row r="227">
          <cell r="I227">
            <v>-7724103.4285909263</v>
          </cell>
        </row>
        <row r="228">
          <cell r="I228">
            <v>-7833558.5561122522</v>
          </cell>
        </row>
        <row r="229">
          <cell r="I229">
            <v>-7944135.5986906718</v>
          </cell>
        </row>
        <row r="230">
          <cell r="I230">
            <v>-8055846.0559555208</v>
          </cell>
        </row>
        <row r="231">
          <cell r="I231">
            <v>-8168701.5454073343</v>
          </cell>
        </row>
        <row r="232">
          <cell r="I232">
            <v>-8282713.8036260288</v>
          </cell>
        </row>
        <row r="233">
          <cell r="I233">
            <v>-8397894.6874914654</v>
          </cell>
        </row>
        <row r="234">
          <cell r="I234">
            <v>-8514256.1754165217</v>
          </cell>
        </row>
        <row r="235">
          <cell r="I235">
            <v>-8631810.3685928099</v>
          </cell>
        </row>
        <row r="236">
          <cell r="I236">
            <v>-8750569.4922491554</v>
          </cell>
        </row>
        <row r="237">
          <cell r="I237">
            <v>-8870545.8969229776</v>
          </cell>
        </row>
        <row r="238">
          <cell r="I238">
            <v>-8991752.0597447082</v>
          </cell>
        </row>
        <row r="239">
          <cell r="I239">
            <v>-9114200.5857353602</v>
          </cell>
        </row>
        <row r="240">
          <cell r="I240">
            <v>-9237904.2091174163</v>
          </cell>
        </row>
        <row r="241">
          <cell r="I241">
            <v>-9362875.7946391385</v>
          </cell>
        </row>
        <row r="242">
          <cell r="I242">
            <v>-9489128.3389124591</v>
          </cell>
        </row>
        <row r="243">
          <cell r="I243">
            <v>-9616674.9717645813</v>
          </cell>
        </row>
        <row r="244">
          <cell r="I244">
            <v>-9745528.9576034378</v>
          </cell>
        </row>
        <row r="245">
          <cell r="I245">
            <v>-9875703.6967971418</v>
          </cell>
        </row>
        <row r="246">
          <cell r="I246">
            <v>-10007212.727067582</v>
          </cell>
        </row>
        <row r="247">
          <cell r="I247">
            <v>-10140069.724898294</v>
          </cell>
        </row>
        <row r="248">
          <cell r="I248">
            <v>-10274288.506956771</v>
          </cell>
        </row>
        <row r="249">
          <cell r="I249">
            <v>-10409883.031531347</v>
          </cell>
        </row>
        <row r="250">
          <cell r="I250">
            <v>-10546867.399982812</v>
          </cell>
        </row>
        <row r="251">
          <cell r="I251">
            <v>-10685255.858210905</v>
          </cell>
        </row>
        <row r="252">
          <cell r="I252">
            <v>-10825062.798135836</v>
          </cell>
        </row>
        <row r="253">
          <cell r="I253">
            <v>-10966302.759194996</v>
          </cell>
        </row>
        <row r="254">
          <cell r="I254">
            <v>-11108990.429855013</v>
          </cell>
        </row>
        <row r="255">
          <cell r="I255">
            <v>-11253140.649139296</v>
          </cell>
        </row>
        <row r="256">
          <cell r="I256">
            <v>-11398768.408171244</v>
          </cell>
        </row>
        <row r="257">
          <cell r="I257">
            <v>-11545888.851733269</v>
          </cell>
        </row>
        <row r="258">
          <cell r="I258">
            <v>-11694517.279841805</v>
          </cell>
        </row>
        <row r="259">
          <cell r="I259">
            <v>-11844669.149338452</v>
          </cell>
        </row>
        <row r="260">
          <cell r="I260">
            <v>-11996360.075497441</v>
          </cell>
        </row>
        <row r="261">
          <cell r="I261">
            <v>-12149605.833649559</v>
          </cell>
        </row>
        <row r="262">
          <cell r="I262">
            <v>-12304422.360822735</v>
          </cell>
        </row>
        <row r="263">
          <cell r="I263">
            <v>-12460825.757399438</v>
          </cell>
        </row>
        <row r="264">
          <cell r="I264">
            <v>-12618832.288791051</v>
          </cell>
        </row>
        <row r="265">
          <cell r="I265">
            <v>-12778458.387129428</v>
          </cell>
        </row>
        <row r="266">
          <cell r="I266">
            <v>-12939720.652975773</v>
          </cell>
        </row>
        <row r="267">
          <cell r="I267">
            <v>-13102635.857047044</v>
          </cell>
        </row>
        <row r="268">
          <cell r="I268">
            <v>-13267220.941960044</v>
          </cell>
        </row>
        <row r="269">
          <cell r="I269">
            <v>-13433493.023993405</v>
          </cell>
        </row>
        <row r="270">
          <cell r="I270">
            <v>-13601469.394867606</v>
          </cell>
        </row>
        <row r="271">
          <cell r="I271">
            <v>-13771167.523543268</v>
          </cell>
        </row>
        <row r="272">
          <cell r="I272">
            <v>-13942605.058037857</v>
          </cell>
        </row>
        <row r="273">
          <cell r="I273">
            <v>-14115799.827261014</v>
          </cell>
        </row>
        <row r="274">
          <cell r="I274">
            <v>-14290769.842868708</v>
          </cell>
        </row>
        <row r="275">
          <cell r="I275">
            <v>-14467533.301136382</v>
          </cell>
        </row>
        <row r="276">
          <cell r="I276">
            <v>-14646108.584851298</v>
          </cell>
        </row>
        <row r="277">
          <cell r="I277">
            <v>-14826514.265224293</v>
          </cell>
        </row>
        <row r="278">
          <cell r="I278">
            <v>-15008769.103821112</v>
          </cell>
        </row>
        <row r="279">
          <cell r="I279">
            <v>-15192892.054513548</v>
          </cell>
        </row>
        <row r="280">
          <cell r="I280">
            <v>-15378902.26545058</v>
          </cell>
        </row>
        <row r="281">
          <cell r="I281">
            <v>-15566819.081049718</v>
          </cell>
        </row>
        <row r="282">
          <cell r="I282">
            <v>-15756662.044008747</v>
          </cell>
        </row>
        <row r="283">
          <cell r="I283">
            <v>-15948450.897338105</v>
          </cell>
        </row>
        <row r="284">
          <cell r="I284">
            <v>-16142205.586414089</v>
          </cell>
        </row>
        <row r="285">
          <cell r="I285">
            <v>-16337946.261053102</v>
          </cell>
        </row>
        <row r="286">
          <cell r="I286">
            <v>-16535693.277607165</v>
          </cell>
        </row>
        <row r="287">
          <cell r="I287">
            <v>-16735467.201080907</v>
          </cell>
        </row>
        <row r="288">
          <cell r="I288">
            <v>-16937288.807270255</v>
          </cell>
        </row>
        <row r="289">
          <cell r="I289">
            <v>-17141179.084923044</v>
          </cell>
        </row>
        <row r="290">
          <cell r="I290">
            <v>-17347159.237921774</v>
          </cell>
        </row>
        <row r="291">
          <cell r="I291">
            <v>-17555250.687488742</v>
          </cell>
        </row>
        <row r="292">
          <cell r="I292">
            <v>-17765475.074413773</v>
          </cell>
        </row>
        <row r="293">
          <cell r="I293">
            <v>-17977854.261304785</v>
          </cell>
        </row>
        <row r="294">
          <cell r="I294">
            <v>-18192410.334861428</v>
          </cell>
        </row>
        <row r="295">
          <cell r="I295">
            <v>-18409165.608172026</v>
          </cell>
        </row>
        <row r="296">
          <cell r="I296">
            <v>-18628142.623034056</v>
          </cell>
        </row>
        <row r="297">
          <cell r="I297">
            <v>-18849364.152298424</v>
          </cell>
        </row>
        <row r="298">
          <cell r="I298">
            <v>-19072853.202237751</v>
          </cell>
        </row>
        <row r="299">
          <cell r="I299">
            <v>-19298633.014938958</v>
          </cell>
        </row>
        <row r="300">
          <cell r="I300">
            <v>-19526727.070720352</v>
          </cell>
        </row>
        <row r="301">
          <cell r="I301">
            <v>-19757159.090573505</v>
          </cell>
        </row>
        <row r="302">
          <cell r="I302">
            <v>-19989953.038630154</v>
          </cell>
        </row>
        <row r="303">
          <cell r="I303">
            <v>-20225133.124654382</v>
          </cell>
        </row>
        <row r="304">
          <cell r="I304">
            <v>-20462723.80656036</v>
          </cell>
        </row>
        <row r="305">
          <cell r="I305">
            <v>-20702749.792955872</v>
          </cell>
        </row>
        <row r="306">
          <cell r="I306">
            <v>-20945236.045711938</v>
          </cell>
        </row>
        <row r="307">
          <cell r="I307">
            <v>-21190207.782558754</v>
          </cell>
        </row>
        <row r="308">
          <cell r="I308">
            <v>-21437690.479708251</v>
          </cell>
        </row>
        <row r="309">
          <cell r="I309">
            <v>-21687709.874503531</v>
          </cell>
        </row>
        <row r="310">
          <cell r="I310">
            <v>-21940291.968095459</v>
          </cell>
        </row>
        <row r="311">
          <cell r="I311">
            <v>-22195463.028146707</v>
          </cell>
        </row>
        <row r="312">
          <cell r="I312">
            <v>-22453249.591563478</v>
          </cell>
        </row>
        <row r="313">
          <cell r="I313">
            <v>-22713678.467255272</v>
          </cell>
        </row>
        <row r="314">
          <cell r="I314">
            <v>-22976776.738922909</v>
          </cell>
        </row>
        <row r="315">
          <cell r="I315">
            <v>-23242571.767875139</v>
          </cell>
        </row>
        <row r="316">
          <cell r="I316">
            <v>-23511091.195874128</v>
          </cell>
        </row>
        <row r="317">
          <cell r="I317">
            <v>-23782362.948010106</v>
          </cell>
        </row>
        <row r="318">
          <cell r="I318">
            <v>-24056415.235605478</v>
          </cell>
        </row>
        <row r="319">
          <cell r="I319">
            <v>-24333276.559148703</v>
          </cell>
        </row>
        <row r="320">
          <cell r="I320">
            <v>-24612975.711258247</v>
          </cell>
        </row>
        <row r="321">
          <cell r="I321">
            <v>-24895541.779676914</v>
          </cell>
        </row>
        <row r="322">
          <cell r="I322">
            <v>-25181004.150296871</v>
          </cell>
        </row>
        <row r="323">
          <cell r="I323">
            <v>-25469392.510215681</v>
          </cell>
        </row>
        <row r="324">
          <cell r="I324">
            <v>-25760736.850823659</v>
          </cell>
        </row>
        <row r="325">
          <cell r="I325">
            <v>-26055067.470922872</v>
          </cell>
        </row>
        <row r="326">
          <cell r="I326">
            <v>-26352414.979878101</v>
          </cell>
        </row>
        <row r="327">
          <cell r="I327">
            <v>-26652810.300800122</v>
          </cell>
        </row>
        <row r="328">
          <cell r="I328">
            <v>-26956284.673761591</v>
          </cell>
        </row>
        <row r="329">
          <cell r="I329">
            <v>-27262869.659045916</v>
          </cell>
        </row>
        <row r="330">
          <cell r="I330">
            <v>-27572597.140429407</v>
          </cell>
        </row>
        <row r="331">
          <cell r="I331">
            <v>-27885499.328497078</v>
          </cell>
        </row>
        <row r="332">
          <cell r="I332">
            <v>-28201608.763992444</v>
          </cell>
        </row>
        <row r="333">
          <cell r="I333">
            <v>-28520958.321201634</v>
          </cell>
        </row>
        <row r="334">
          <cell r="I334">
            <v>-28843581.211372219</v>
          </cell>
        </row>
        <row r="335">
          <cell r="I335">
            <v>-29169510.986167055</v>
          </cell>
        </row>
        <row r="336">
          <cell r="I336">
            <v>-29498781.541153535</v>
          </cell>
        </row>
        <row r="337">
          <cell r="I337">
            <v>-29831427.119328629</v>
          </cell>
        </row>
        <row r="338">
          <cell r="I338">
            <v>-30167482.314680018</v>
          </cell>
        </row>
        <row r="339">
          <cell r="I339">
            <v>-30506982.075783756</v>
          </cell>
        </row>
        <row r="340">
          <cell r="I340">
            <v>-30849961.709438808</v>
          </cell>
        </row>
        <row r="341">
          <cell r="I341">
            <v>-31196456.884338826</v>
          </cell>
        </row>
        <row r="342">
          <cell r="I342">
            <v>-31546503.634781569</v>
          </cell>
        </row>
        <row r="343">
          <cell r="I343">
            <v>-31900138.36441635</v>
          </cell>
        </row>
        <row r="344">
          <cell r="I344">
            <v>-32257397.850029886</v>
          </cell>
        </row>
        <row r="345">
          <cell r="I345">
            <v>-32618319.245370962</v>
          </cell>
        </row>
        <row r="346">
          <cell r="I346">
            <v>-32982940.085014284</v>
          </cell>
        </row>
        <row r="347">
          <cell r="I347">
            <v>-33351298.28826395</v>
          </cell>
        </row>
        <row r="348">
          <cell r="I348">
            <v>-33723432.163096927</v>
          </cell>
        </row>
        <row r="349">
          <cell r="I349">
            <v>-34099380.410146937</v>
          </cell>
        </row>
        <row r="350">
          <cell r="I350">
            <v>-34479182.126729213</v>
          </cell>
        </row>
        <row r="351">
          <cell r="I351">
            <v>-34862876.810906455</v>
          </cell>
        </row>
        <row r="352">
          <cell r="I352">
            <v>-35250504.365596518</v>
          </cell>
        </row>
        <row r="353">
          <cell r="I353">
            <v>-35642105.102722153</v>
          </cell>
        </row>
        <row r="354">
          <cell r="I354">
            <v>-36037719.747403324</v>
          </cell>
        </row>
        <row r="355">
          <cell r="I355">
            <v>-36437389.44219248</v>
          </cell>
        </row>
        <row r="356">
          <cell r="I356">
            <v>-36841155.751353219</v>
          </cell>
        </row>
        <row r="357">
          <cell r="I357">
            <v>-37249060.665182859</v>
          </cell>
        </row>
        <row r="358">
          <cell r="I358">
            <v>-37661146.604379252</v>
          </cell>
        </row>
        <row r="359">
          <cell r="I359">
            <v>-38077456.424452409</v>
          </cell>
        </row>
        <row r="360">
          <cell r="I360">
            <v>-38498033.420181319</v>
          </cell>
        </row>
        <row r="361">
          <cell r="I361">
            <v>-38922921.330116443</v>
          </cell>
        </row>
        <row r="362">
          <cell r="I362">
            <v>-39352164.341128409</v>
          </cell>
        </row>
        <row r="363">
          <cell r="I363">
            <v>-39785807.093003243</v>
          </cell>
        </row>
        <row r="364">
          <cell r="I364">
            <v>-40223894.683084793</v>
          </cell>
        </row>
        <row r="365">
          <cell r="I365">
            <v>-40666472.670964681</v>
          </cell>
        </row>
        <row r="366">
          <cell r="I366">
            <v>-41113587.08322034</v>
          </cell>
        </row>
        <row r="367">
          <cell r="I367">
            <v>-41565284.418201618</v>
          </cell>
        </row>
        <row r="368">
          <cell r="I368">
            <v>-42021611.650866456</v>
          </cell>
        </row>
        <row r="369">
          <cell r="I369">
            <v>-42482616.237666108</v>
          </cell>
        </row>
        <row r="370">
          <cell r="I370">
            <v>-42948346.121480457</v>
          </cell>
        </row>
        <row r="371">
          <cell r="I371">
            <v>-43418849.736603901</v>
          </cell>
        </row>
        <row r="372">
          <cell r="I372">
            <v>-43894176.01378236</v>
          </cell>
        </row>
        <row r="373">
          <cell r="I373">
            <v>-44374374.385301895</v>
          </cell>
        </row>
        <row r="374">
          <cell r="I374">
            <v>-44859494.790129513</v>
          </cell>
        </row>
        <row r="375">
          <cell r="I375">
            <v>-45349587.679106608</v>
          </cell>
        </row>
        <row r="376">
          <cell r="I376">
            <v>-45844704.020195723</v>
          </cell>
        </row>
        <row r="377">
          <cell r="I377">
            <v>-46344895.303780995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view="pageBreakPreview" zoomScale="115" zoomScaleSheetLayoutView="115" workbookViewId="0">
      <selection activeCell="D5" sqref="D5"/>
    </sheetView>
  </sheetViews>
  <sheetFormatPr defaultRowHeight="12.75" x14ac:dyDescent="0.2"/>
  <cols>
    <col min="1" max="1" width="4.85546875" customWidth="1"/>
    <col min="2" max="2" width="36.28515625" style="11" customWidth="1"/>
    <col min="3" max="3" width="1.140625" style="11" customWidth="1"/>
    <col min="4" max="4" width="54.140625" customWidth="1"/>
  </cols>
  <sheetData>
    <row r="1" spans="1:5" ht="15" x14ac:dyDescent="0.25">
      <c r="A1" s="17"/>
      <c r="B1" s="18"/>
      <c r="C1" s="18"/>
      <c r="D1" s="17"/>
      <c r="E1" s="17"/>
    </row>
    <row r="2" spans="1:5" ht="15" x14ac:dyDescent="0.25">
      <c r="A2" s="17" t="s">
        <v>105</v>
      </c>
      <c r="B2" s="18"/>
      <c r="C2" s="18"/>
      <c r="D2" s="17"/>
      <c r="E2" s="17"/>
    </row>
    <row r="3" spans="1:5" ht="15" x14ac:dyDescent="0.25">
      <c r="A3" s="17"/>
      <c r="B3" s="18"/>
      <c r="C3" s="18"/>
      <c r="D3" s="17"/>
      <c r="E3" s="17"/>
    </row>
    <row r="4" spans="1:5" ht="15" x14ac:dyDescent="0.25">
      <c r="A4" s="19"/>
      <c r="B4" s="20"/>
      <c r="C4" s="20"/>
      <c r="D4" s="19"/>
      <c r="E4" s="17"/>
    </row>
    <row r="5" spans="1:5" ht="15" x14ac:dyDescent="0.25">
      <c r="A5" s="21" t="s">
        <v>83</v>
      </c>
      <c r="B5" s="22" t="s">
        <v>84</v>
      </c>
      <c r="C5" s="23" t="s">
        <v>85</v>
      </c>
      <c r="D5" s="108" t="s">
        <v>165</v>
      </c>
      <c r="E5" s="17"/>
    </row>
    <row r="6" spans="1:5" ht="15" x14ac:dyDescent="0.25">
      <c r="A6" s="199"/>
      <c r="B6" s="24"/>
      <c r="C6" s="25"/>
      <c r="D6" s="27"/>
      <c r="E6" s="17"/>
    </row>
    <row r="7" spans="1:5" ht="15" x14ac:dyDescent="0.25">
      <c r="A7" s="27"/>
      <c r="B7" s="24"/>
      <c r="C7" s="28"/>
      <c r="D7" s="27" t="s">
        <v>121</v>
      </c>
      <c r="E7" s="17"/>
    </row>
    <row r="8" spans="1:5" ht="15" x14ac:dyDescent="0.25">
      <c r="A8" s="27" t="s">
        <v>86</v>
      </c>
      <c r="B8" s="24" t="s">
        <v>94</v>
      </c>
      <c r="C8" s="28" t="s">
        <v>85</v>
      </c>
      <c r="D8" s="27" t="s">
        <v>166</v>
      </c>
      <c r="E8" s="17"/>
    </row>
    <row r="9" spans="1:5" ht="15" x14ac:dyDescent="0.25">
      <c r="A9" s="27"/>
      <c r="B9" s="24"/>
      <c r="C9" s="28"/>
      <c r="D9" s="110"/>
      <c r="E9" s="17"/>
    </row>
    <row r="10" spans="1:5" ht="15" x14ac:dyDescent="0.25">
      <c r="A10" s="27"/>
      <c r="B10" s="24"/>
      <c r="C10" s="25"/>
      <c r="D10" s="111" t="s">
        <v>121</v>
      </c>
      <c r="E10" s="17"/>
    </row>
    <row r="11" spans="1:5" ht="15" x14ac:dyDescent="0.25">
      <c r="A11" s="27" t="s">
        <v>87</v>
      </c>
      <c r="B11" s="24" t="s">
        <v>92</v>
      </c>
      <c r="C11" s="25" t="s">
        <v>85</v>
      </c>
      <c r="D11" s="24" t="s">
        <v>167</v>
      </c>
      <c r="E11" s="17"/>
    </row>
    <row r="12" spans="1:5" ht="15" x14ac:dyDescent="0.25">
      <c r="A12" s="27"/>
      <c r="B12" s="24"/>
      <c r="C12" s="25"/>
      <c r="D12" s="27" t="s">
        <v>121</v>
      </c>
      <c r="E12" s="17"/>
    </row>
    <row r="13" spans="1:5" ht="15" x14ac:dyDescent="0.25">
      <c r="A13" s="27" t="s">
        <v>88</v>
      </c>
      <c r="B13" s="24" t="s">
        <v>93</v>
      </c>
      <c r="C13" s="25" t="s">
        <v>85</v>
      </c>
      <c r="D13" s="27" t="s">
        <v>168</v>
      </c>
      <c r="E13" s="17"/>
    </row>
    <row r="14" spans="1:5" ht="15" x14ac:dyDescent="0.25">
      <c r="A14" s="27"/>
      <c r="B14" s="24"/>
      <c r="C14" s="25"/>
      <c r="D14" s="27" t="s">
        <v>169</v>
      </c>
      <c r="E14" s="17"/>
    </row>
    <row r="15" spans="1:5" ht="15" x14ac:dyDescent="0.25">
      <c r="A15" s="27"/>
      <c r="B15" s="24"/>
      <c r="C15" s="25"/>
      <c r="D15" s="27" t="s">
        <v>170</v>
      </c>
      <c r="E15" s="17"/>
    </row>
    <row r="16" spans="1:5" ht="15" x14ac:dyDescent="0.25">
      <c r="A16" s="27"/>
      <c r="B16" s="24"/>
      <c r="C16" s="25"/>
      <c r="D16" s="109" t="s">
        <v>171</v>
      </c>
      <c r="E16" s="17"/>
    </row>
    <row r="17" spans="1:5" ht="15" x14ac:dyDescent="0.25">
      <c r="A17" s="27"/>
      <c r="B17" s="24"/>
      <c r="C17" s="28"/>
      <c r="D17" s="27"/>
      <c r="E17" s="17"/>
    </row>
    <row r="18" spans="1:5" ht="15" x14ac:dyDescent="0.25">
      <c r="A18" s="27"/>
      <c r="B18" s="24"/>
      <c r="C18" s="25"/>
      <c r="D18" s="27" t="s">
        <v>121</v>
      </c>
      <c r="E18" s="17"/>
    </row>
    <row r="19" spans="1:5" ht="15" x14ac:dyDescent="0.25">
      <c r="A19" s="27" t="s">
        <v>89</v>
      </c>
      <c r="B19" s="24" t="s">
        <v>91</v>
      </c>
      <c r="C19" s="25" t="s">
        <v>85</v>
      </c>
      <c r="D19" s="27" t="s">
        <v>172</v>
      </c>
      <c r="E19" s="17"/>
    </row>
    <row r="20" spans="1:5" ht="15" x14ac:dyDescent="0.25">
      <c r="A20" s="27"/>
      <c r="B20" s="24"/>
      <c r="C20" s="25"/>
      <c r="D20" s="27" t="s">
        <v>121</v>
      </c>
      <c r="E20" s="17"/>
    </row>
    <row r="21" spans="1:5" ht="15" x14ac:dyDescent="0.25">
      <c r="A21" s="27" t="s">
        <v>90</v>
      </c>
      <c r="B21" s="24" t="s">
        <v>106</v>
      </c>
      <c r="C21" s="25" t="s">
        <v>85</v>
      </c>
      <c r="D21" s="27" t="s">
        <v>173</v>
      </c>
      <c r="E21" s="17"/>
    </row>
    <row r="22" spans="1:5" ht="15" x14ac:dyDescent="0.25">
      <c r="A22" s="27"/>
      <c r="B22" s="24"/>
      <c r="C22" s="25"/>
      <c r="D22" s="27"/>
      <c r="E22" s="26"/>
    </row>
    <row r="23" spans="1:5" ht="15" x14ac:dyDescent="0.25">
      <c r="A23" s="29"/>
      <c r="B23" s="30"/>
      <c r="C23" s="31"/>
      <c r="D23" s="29"/>
      <c r="E23" s="26"/>
    </row>
    <row r="24" spans="1:5" ht="15" x14ac:dyDescent="0.25">
      <c r="A24" s="26"/>
      <c r="B24" s="28"/>
      <c r="C24" s="25"/>
      <c r="D24" s="26"/>
      <c r="E24" s="26"/>
    </row>
    <row r="25" spans="1:5" x14ac:dyDescent="0.2">
      <c r="A25" s="13"/>
      <c r="B25" s="14"/>
      <c r="C25" s="12"/>
      <c r="D25" s="13"/>
      <c r="E25" s="15"/>
    </row>
    <row r="26" spans="1:5" x14ac:dyDescent="0.2">
      <c r="A26" s="13"/>
      <c r="B26" s="14"/>
      <c r="C26" s="12"/>
      <c r="D26" s="13"/>
      <c r="E26" s="15"/>
    </row>
    <row r="27" spans="1:5" x14ac:dyDescent="0.2">
      <c r="A27" s="13"/>
      <c r="B27" s="14"/>
      <c r="C27" s="12"/>
      <c r="D27" s="13"/>
      <c r="E27" s="15"/>
    </row>
    <row r="28" spans="1:5" x14ac:dyDescent="0.2">
      <c r="A28" s="13"/>
      <c r="B28" s="14"/>
      <c r="C28" s="12"/>
      <c r="D28" s="13"/>
      <c r="E28" s="15"/>
    </row>
    <row r="29" spans="1:5" x14ac:dyDescent="0.2">
      <c r="A29" s="13"/>
      <c r="B29" s="14"/>
      <c r="C29" s="12"/>
      <c r="D29" s="13"/>
      <c r="E29" s="15"/>
    </row>
    <row r="30" spans="1:5" x14ac:dyDescent="0.2">
      <c r="A30" s="13"/>
      <c r="B30" s="14"/>
      <c r="C30" s="12"/>
      <c r="D30" s="13"/>
      <c r="E30" s="15"/>
    </row>
    <row r="31" spans="1:5" x14ac:dyDescent="0.2">
      <c r="A31" s="13"/>
      <c r="B31" s="14"/>
      <c r="C31" s="12"/>
      <c r="D31" s="13"/>
      <c r="E31" s="15"/>
    </row>
    <row r="32" spans="1:5" x14ac:dyDescent="0.2">
      <c r="A32" s="13"/>
      <c r="B32" s="14"/>
      <c r="C32" s="12"/>
      <c r="D32" s="13"/>
      <c r="E32" s="15"/>
    </row>
    <row r="33" spans="1:5" x14ac:dyDescent="0.2">
      <c r="A33" s="13"/>
      <c r="B33" s="14"/>
      <c r="C33" s="12"/>
      <c r="D33" s="13"/>
      <c r="E33" s="15"/>
    </row>
    <row r="34" spans="1:5" x14ac:dyDescent="0.2">
      <c r="A34" s="13"/>
      <c r="B34" s="14"/>
      <c r="C34" s="12"/>
      <c r="D34" s="13"/>
      <c r="E34" s="15"/>
    </row>
    <row r="35" spans="1:5" x14ac:dyDescent="0.2">
      <c r="A35" s="13"/>
      <c r="B35" s="14"/>
      <c r="C35" s="12"/>
      <c r="D35" s="13"/>
      <c r="E35" s="15"/>
    </row>
    <row r="36" spans="1:5" x14ac:dyDescent="0.2">
      <c r="A36" s="13"/>
      <c r="B36" s="14"/>
      <c r="C36" s="12"/>
      <c r="D36" s="13"/>
      <c r="E36" s="15"/>
    </row>
    <row r="37" spans="1:5" x14ac:dyDescent="0.2">
      <c r="A37" s="15"/>
      <c r="B37" s="14"/>
      <c r="C37" s="12"/>
      <c r="D37" s="13"/>
      <c r="E37" s="15"/>
    </row>
    <row r="38" spans="1:5" x14ac:dyDescent="0.2">
      <c r="A38" s="15"/>
      <c r="B38" s="14"/>
      <c r="C38" s="14"/>
      <c r="D38" s="15"/>
      <c r="E38" s="15"/>
    </row>
    <row r="39" spans="1:5" x14ac:dyDescent="0.2">
      <c r="A39" s="15"/>
      <c r="B39" s="14"/>
      <c r="C39" s="14"/>
      <c r="D39" s="15"/>
      <c r="E39" s="15"/>
    </row>
    <row r="40" spans="1:5" x14ac:dyDescent="0.2">
      <c r="A40" s="15"/>
      <c r="B40" s="14"/>
      <c r="C40" s="14"/>
      <c r="D40" s="15"/>
      <c r="E40" s="15"/>
    </row>
    <row r="41" spans="1:5" x14ac:dyDescent="0.2">
      <c r="A41" s="15"/>
      <c r="B41" s="14"/>
      <c r="C41" s="14"/>
      <c r="D41" s="15"/>
      <c r="E41" s="15"/>
    </row>
    <row r="42" spans="1:5" x14ac:dyDescent="0.2">
      <c r="A42" s="15"/>
      <c r="B42" s="14"/>
      <c r="C42" s="14"/>
      <c r="D42" s="15"/>
      <c r="E42" s="15"/>
    </row>
    <row r="43" spans="1:5" x14ac:dyDescent="0.2">
      <c r="A43" s="15"/>
      <c r="B43" s="14"/>
      <c r="C43" s="14"/>
      <c r="D43" s="15"/>
      <c r="E43" s="15"/>
    </row>
    <row r="44" spans="1:5" x14ac:dyDescent="0.2">
      <c r="A44" s="15"/>
      <c r="B44" s="14"/>
      <c r="C44" s="14"/>
      <c r="D44" s="15"/>
      <c r="E44" s="15"/>
    </row>
    <row r="45" spans="1:5" x14ac:dyDescent="0.2">
      <c r="A45" s="15"/>
      <c r="B45" s="14"/>
      <c r="C45" s="14"/>
      <c r="D45" s="15"/>
    </row>
    <row r="46" spans="1:5" x14ac:dyDescent="0.2">
      <c r="A46" s="15"/>
      <c r="B46" s="14"/>
      <c r="C46" s="14"/>
      <c r="D46" s="15"/>
    </row>
    <row r="47" spans="1:5" x14ac:dyDescent="0.2">
      <c r="B47" s="14"/>
      <c r="C47" s="14"/>
      <c r="D47" s="15"/>
    </row>
    <row r="48" spans="1:5" x14ac:dyDescent="0.2">
      <c r="B48" s="14"/>
      <c r="C48" s="15"/>
      <c r="D48" s="15"/>
    </row>
    <row r="49" spans="2:4" x14ac:dyDescent="0.2">
      <c r="B49" s="14"/>
      <c r="C49" s="14"/>
      <c r="D49" s="15"/>
    </row>
    <row r="50" spans="2:4" x14ac:dyDescent="0.2">
      <c r="B50" s="14"/>
      <c r="C50" s="14"/>
      <c r="D50" s="15"/>
    </row>
    <row r="51" spans="2:4" x14ac:dyDescent="0.2">
      <c r="B51" s="15"/>
      <c r="C51" s="13"/>
      <c r="D51" s="16"/>
    </row>
    <row r="52" spans="2:4" x14ac:dyDescent="0.2">
      <c r="B52" s="15"/>
      <c r="C52" s="15"/>
      <c r="D52" s="15"/>
    </row>
    <row r="53" spans="2:4" x14ac:dyDescent="0.2">
      <c r="B53" s="14"/>
      <c r="C53" s="14"/>
      <c r="D53" s="15"/>
    </row>
    <row r="54" spans="2:4" x14ac:dyDescent="0.2">
      <c r="B54" s="14"/>
      <c r="C54" s="14"/>
      <c r="D54" s="15"/>
    </row>
    <row r="55" spans="2:4" x14ac:dyDescent="0.2">
      <c r="B55" s="14"/>
      <c r="C55" s="14"/>
      <c r="D55" s="15"/>
    </row>
  </sheetData>
  <pageMargins left="0.70866141732283505" right="0.70866141732283505" top="1.7480314960000001" bottom="0.74803149606299202" header="0.31496062992126" footer="0.31496062992126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view="pageBreakPreview" zoomScale="60" workbookViewId="0">
      <selection activeCell="O41" sqref="O41"/>
    </sheetView>
  </sheetViews>
  <sheetFormatPr defaultRowHeight="12.75" x14ac:dyDescent="0.2"/>
  <sheetData/>
  <pageMargins left="0.7" right="0.7" top="2" bottom="0.75" header="0.3" footer="0.3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view="pageBreakPreview" topLeftCell="A24" zoomScale="53" zoomScaleNormal="100" zoomScaleSheetLayoutView="53" workbookViewId="0">
      <selection activeCell="A54" sqref="A54"/>
    </sheetView>
  </sheetViews>
  <sheetFormatPr defaultColWidth="9.140625" defaultRowHeight="33" x14ac:dyDescent="0.45"/>
  <cols>
    <col min="1" max="1" width="118.28515625" style="41" customWidth="1"/>
    <col min="2" max="2" width="34" style="41" customWidth="1"/>
    <col min="3" max="12" width="36.7109375" style="41" customWidth="1"/>
    <col min="14" max="14" width="36.7109375" style="41" customWidth="1"/>
    <col min="15" max="16384" width="9.140625" style="41"/>
  </cols>
  <sheetData>
    <row r="1" spans="1:14" hidden="1" x14ac:dyDescent="0.45"/>
    <row r="2" spans="1:14" hidden="1" x14ac:dyDescent="0.45">
      <c r="A2" s="211" t="s">
        <v>161</v>
      </c>
      <c r="B2" s="211"/>
      <c r="C2" s="211"/>
    </row>
    <row r="3" spans="1:14" hidden="1" x14ac:dyDescent="0.45">
      <c r="A3" s="40"/>
      <c r="B3" s="40"/>
      <c r="C3" s="40"/>
      <c r="D3" s="117"/>
      <c r="E3" s="117"/>
      <c r="F3" s="117"/>
      <c r="G3" s="171"/>
      <c r="H3" s="171"/>
      <c r="I3" s="171"/>
      <c r="J3" s="171"/>
      <c r="K3" s="171"/>
      <c r="L3" s="201"/>
      <c r="N3" s="171"/>
    </row>
    <row r="4" spans="1:14" hidden="1" x14ac:dyDescent="0.45">
      <c r="A4" s="211" t="s">
        <v>134</v>
      </c>
      <c r="B4" s="211"/>
      <c r="C4" s="211"/>
    </row>
    <row r="5" spans="1:14" hidden="1" x14ac:dyDescent="0.45">
      <c r="C5" s="42"/>
      <c r="D5" s="42"/>
      <c r="E5" s="42"/>
      <c r="F5" s="42"/>
      <c r="G5" s="42"/>
      <c r="H5" s="42"/>
      <c r="I5" s="42"/>
      <c r="J5" s="42"/>
      <c r="K5" s="42"/>
      <c r="L5" s="42"/>
      <c r="N5" s="42"/>
    </row>
    <row r="6" spans="1:14" hidden="1" x14ac:dyDescent="0.45">
      <c r="A6" s="43" t="s">
        <v>0</v>
      </c>
      <c r="B6" s="44" t="s">
        <v>123</v>
      </c>
      <c r="C6" s="44" t="s">
        <v>124</v>
      </c>
      <c r="D6" s="44" t="s">
        <v>125</v>
      </c>
      <c r="E6" s="44" t="s">
        <v>128</v>
      </c>
      <c r="F6" s="44" t="s">
        <v>141</v>
      </c>
      <c r="G6" s="44"/>
      <c r="H6" s="44"/>
      <c r="I6" s="44"/>
      <c r="J6" s="44"/>
      <c r="K6" s="44"/>
      <c r="L6" s="49"/>
      <c r="N6" s="49"/>
    </row>
    <row r="7" spans="1:14" hidden="1" x14ac:dyDescent="0.45">
      <c r="A7" s="45"/>
      <c r="B7" s="122" t="s">
        <v>138</v>
      </c>
      <c r="C7" s="122" t="s">
        <v>139</v>
      </c>
      <c r="D7" s="122" t="s">
        <v>139</v>
      </c>
      <c r="E7" s="122" t="s">
        <v>139</v>
      </c>
      <c r="F7" s="122" t="s">
        <v>139</v>
      </c>
      <c r="G7" s="122"/>
      <c r="H7" s="122"/>
      <c r="I7" s="122"/>
      <c r="J7" s="122"/>
      <c r="K7" s="122"/>
      <c r="L7" s="181"/>
      <c r="N7" s="181"/>
    </row>
    <row r="8" spans="1:14" hidden="1" x14ac:dyDescent="0.45">
      <c r="A8" s="46" t="s">
        <v>1</v>
      </c>
      <c r="B8" s="47">
        <v>24713.98</v>
      </c>
      <c r="C8" s="47">
        <f>C33</f>
        <v>0</v>
      </c>
      <c r="D8" s="47">
        <v>10893912.5</v>
      </c>
      <c r="E8" s="47">
        <v>9020159.5499999989</v>
      </c>
      <c r="F8" s="47">
        <v>9541324.3239999991</v>
      </c>
      <c r="G8" s="47"/>
      <c r="H8" s="47"/>
      <c r="I8" s="47"/>
      <c r="J8" s="47"/>
      <c r="K8" s="47"/>
      <c r="L8" s="182"/>
      <c r="N8" s="182"/>
    </row>
    <row r="9" spans="1:14" hidden="1" x14ac:dyDescent="0.45">
      <c r="A9" s="46" t="s">
        <v>2</v>
      </c>
      <c r="B9" s="48">
        <v>0</v>
      </c>
      <c r="C9" s="48">
        <v>9689299.0299999993</v>
      </c>
      <c r="D9" s="48">
        <v>10744680.821917808</v>
      </c>
      <c r="E9" s="48">
        <v>10983451.506849313</v>
      </c>
      <c r="F9" s="48">
        <v>10063750</v>
      </c>
      <c r="G9" s="48"/>
      <c r="H9" s="48"/>
      <c r="I9" s="48"/>
      <c r="J9" s="48"/>
      <c r="K9" s="48"/>
      <c r="L9" s="182"/>
      <c r="N9" s="182"/>
    </row>
    <row r="10" spans="1:14" hidden="1" x14ac:dyDescent="0.45">
      <c r="A10" s="46" t="s">
        <v>3</v>
      </c>
      <c r="B10" s="47">
        <f>SUM(B8:B9)</f>
        <v>24713.98</v>
      </c>
      <c r="C10" s="47">
        <v>21964689.030000001</v>
      </c>
      <c r="D10" s="47">
        <v>21638593.32191781</v>
      </c>
      <c r="E10" s="47">
        <v>20003611.056849312</v>
      </c>
      <c r="F10" s="47">
        <v>19605074.324000001</v>
      </c>
      <c r="G10" s="47"/>
      <c r="H10" s="47"/>
      <c r="I10" s="47"/>
      <c r="J10" s="47"/>
      <c r="K10" s="47"/>
      <c r="L10" s="182"/>
      <c r="N10" s="182"/>
    </row>
    <row r="11" spans="1:14" hidden="1" x14ac:dyDescent="0.45">
      <c r="A11" s="46" t="s">
        <v>47</v>
      </c>
      <c r="B11" s="48">
        <v>74132.14</v>
      </c>
      <c r="C11" s="48">
        <v>4229181.2300000004</v>
      </c>
      <c r="D11" s="48">
        <v>2536938.5273972601</v>
      </c>
      <c r="E11" s="48">
        <v>2917479.3065068489</v>
      </c>
      <c r="F11" s="48">
        <v>3459787.2246575337</v>
      </c>
      <c r="G11" s="48"/>
      <c r="H11" s="48"/>
      <c r="I11" s="48"/>
      <c r="J11" s="48"/>
      <c r="K11" s="48"/>
      <c r="L11" s="182"/>
      <c r="N11" s="182"/>
    </row>
    <row r="12" spans="1:14" hidden="1" x14ac:dyDescent="0.45">
      <c r="A12" s="46" t="s">
        <v>21</v>
      </c>
      <c r="B12" s="47">
        <f>B10-B11</f>
        <v>-49418.16</v>
      </c>
      <c r="C12" s="47">
        <v>17735507.800000001</v>
      </c>
      <c r="D12" s="47">
        <v>19101654.794520549</v>
      </c>
      <c r="E12" s="47">
        <v>17086131.750342462</v>
      </c>
      <c r="F12" s="47">
        <v>16145287.099342467</v>
      </c>
      <c r="G12" s="47"/>
      <c r="H12" s="47"/>
      <c r="I12" s="47"/>
      <c r="J12" s="47"/>
      <c r="K12" s="47"/>
      <c r="L12" s="182"/>
      <c r="N12" s="182"/>
    </row>
    <row r="13" spans="1:14" hidden="1" x14ac:dyDescent="0.45">
      <c r="A13" s="46" t="s">
        <v>113</v>
      </c>
      <c r="B13" s="124">
        <f>B12*25%</f>
        <v>-12354.54</v>
      </c>
      <c r="C13" s="48">
        <v>4433876.95</v>
      </c>
      <c r="D13" s="48">
        <v>4775413.6986301374</v>
      </c>
      <c r="E13" s="48">
        <v>4271532.9375856156</v>
      </c>
      <c r="F13" s="48">
        <v>4036321.7748356168</v>
      </c>
      <c r="G13" s="48"/>
      <c r="H13" s="48"/>
      <c r="I13" s="48"/>
      <c r="J13" s="48"/>
      <c r="K13" s="48"/>
      <c r="L13" s="182"/>
      <c r="N13" s="182"/>
    </row>
    <row r="14" spans="1:14" ht="31.5" hidden="1" customHeight="1" x14ac:dyDescent="0.45">
      <c r="A14" s="46" t="s">
        <v>131</v>
      </c>
      <c r="B14" s="47">
        <v>0</v>
      </c>
      <c r="C14" s="47">
        <v>13301630.850000001</v>
      </c>
      <c r="D14" s="47">
        <v>14326241.095890412</v>
      </c>
      <c r="E14" s="47">
        <v>12814598.812756848</v>
      </c>
      <c r="F14" s="47">
        <v>12108965.324506851</v>
      </c>
      <c r="G14" s="47"/>
      <c r="H14" s="47"/>
      <c r="I14" s="47"/>
      <c r="J14" s="47"/>
      <c r="K14" s="47"/>
      <c r="L14" s="182"/>
      <c r="N14" s="182"/>
    </row>
    <row r="15" spans="1:14" hidden="1" x14ac:dyDescent="0.45">
      <c r="A15" s="46" t="s">
        <v>132</v>
      </c>
      <c r="B15" s="47">
        <v>0</v>
      </c>
      <c r="C15" s="47">
        <v>11583813.4</v>
      </c>
      <c r="D15" s="47">
        <v>8715130</v>
      </c>
      <c r="E15" s="47">
        <v>10022399.499999998</v>
      </c>
      <c r="F15" s="47">
        <v>11225087.439999999</v>
      </c>
      <c r="G15" s="47"/>
      <c r="H15" s="47"/>
      <c r="I15" s="47"/>
      <c r="J15" s="47"/>
      <c r="K15" s="47"/>
      <c r="L15" s="182"/>
      <c r="N15" s="182"/>
    </row>
    <row r="16" spans="1:14" hidden="1" x14ac:dyDescent="0.45">
      <c r="A16" s="46" t="s">
        <v>130</v>
      </c>
      <c r="B16" s="51">
        <v>0</v>
      </c>
      <c r="C16" s="51">
        <v>2000000</v>
      </c>
      <c r="D16" s="51">
        <v>2000000</v>
      </c>
      <c r="E16" s="51">
        <v>2000000</v>
      </c>
      <c r="F16" s="51">
        <v>2000000</v>
      </c>
      <c r="G16" s="51"/>
      <c r="H16" s="51"/>
      <c r="I16" s="51"/>
      <c r="J16" s="51"/>
      <c r="K16" s="51"/>
      <c r="L16" s="170"/>
      <c r="N16" s="170"/>
    </row>
    <row r="17" spans="1:14" hidden="1" x14ac:dyDescent="0.45">
      <c r="A17" s="46" t="s">
        <v>127</v>
      </c>
      <c r="B17" s="52">
        <v>0</v>
      </c>
      <c r="C17" s="52">
        <f>C16*12/100*1/12</f>
        <v>20000</v>
      </c>
      <c r="D17" s="52">
        <f>D16*12%</f>
        <v>240000</v>
      </c>
      <c r="E17" s="52">
        <f t="shared" ref="E17" si="0">E16*12%</f>
        <v>240000</v>
      </c>
      <c r="F17" s="52">
        <f>F16*12%</f>
        <v>240000</v>
      </c>
      <c r="G17" s="52"/>
      <c r="H17" s="52"/>
      <c r="I17" s="52"/>
      <c r="J17" s="52"/>
      <c r="K17" s="52"/>
      <c r="L17" s="182"/>
      <c r="N17" s="182"/>
    </row>
    <row r="18" spans="1:14" hidden="1" x14ac:dyDescent="0.45">
      <c r="A18" s="53" t="s">
        <v>133</v>
      </c>
      <c r="B18" s="54">
        <v>1</v>
      </c>
      <c r="C18" s="54">
        <v>1</v>
      </c>
      <c r="D18" s="54">
        <v>1</v>
      </c>
      <c r="E18" s="54">
        <v>1</v>
      </c>
      <c r="F18" s="54">
        <v>1</v>
      </c>
      <c r="G18" s="54"/>
      <c r="H18" s="54"/>
      <c r="I18" s="54"/>
      <c r="J18" s="54"/>
      <c r="K18" s="54"/>
      <c r="L18" s="56"/>
      <c r="N18" s="56"/>
    </row>
    <row r="19" spans="1:14" hidden="1" x14ac:dyDescent="0.4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N19" s="56"/>
    </row>
    <row r="20" spans="1:14" hidden="1" x14ac:dyDescent="0.45">
      <c r="A20" s="212" t="s">
        <v>121</v>
      </c>
      <c r="B20" s="212"/>
      <c r="C20" s="212"/>
    </row>
    <row r="21" spans="1:14" hidden="1" x14ac:dyDescent="0.45">
      <c r="A21" s="120" t="s">
        <v>121</v>
      </c>
      <c r="B21" s="120" t="s">
        <v>121</v>
      </c>
      <c r="C21" s="120"/>
    </row>
    <row r="22" spans="1:14" hidden="1" x14ac:dyDescent="0.45">
      <c r="A22" s="57" t="s">
        <v>121</v>
      </c>
      <c r="B22" s="50" t="s">
        <v>121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N22" s="50"/>
    </row>
    <row r="23" spans="1:14" hidden="1" x14ac:dyDescent="0.45">
      <c r="A23" s="58"/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N23" s="60"/>
    </row>
    <row r="24" spans="1:14" x14ac:dyDescent="0.45">
      <c r="A24" s="211" t="str">
        <f>'INFO PAGE'!D11</f>
        <v>M/S SHREE ENTERPRISES</v>
      </c>
      <c r="B24" s="211"/>
      <c r="C24" s="211"/>
    </row>
    <row r="25" spans="1:14" x14ac:dyDescent="0.45">
      <c r="A25" s="40"/>
      <c r="B25" s="40"/>
      <c r="C25" s="40"/>
      <c r="D25" s="117"/>
      <c r="E25" s="117"/>
      <c r="F25" s="117"/>
      <c r="G25" s="171"/>
      <c r="H25" s="171"/>
      <c r="I25" s="171"/>
      <c r="J25" s="171"/>
      <c r="K25" s="171"/>
      <c r="L25" s="201"/>
      <c r="N25" s="171"/>
    </row>
    <row r="26" spans="1:14" x14ac:dyDescent="0.4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N26" s="61"/>
    </row>
    <row r="27" spans="1:14" x14ac:dyDescent="0.45">
      <c r="A27" s="213" t="s">
        <v>48</v>
      </c>
      <c r="B27" s="213"/>
      <c r="C27" s="213"/>
    </row>
    <row r="28" spans="1:14" x14ac:dyDescent="0.45">
      <c r="A28" s="63"/>
      <c r="B28" s="63"/>
      <c r="C28" s="42"/>
      <c r="D28" s="42"/>
      <c r="E28" s="42"/>
      <c r="F28" s="42"/>
      <c r="G28" s="42"/>
      <c r="H28" s="42"/>
      <c r="I28" s="42"/>
      <c r="J28" s="42"/>
      <c r="K28" s="42"/>
      <c r="L28" s="42"/>
      <c r="N28" s="42"/>
    </row>
    <row r="29" spans="1:14" x14ac:dyDescent="0.45">
      <c r="A29" s="64" t="s">
        <v>0</v>
      </c>
      <c r="B29" s="125" t="s">
        <v>128</v>
      </c>
      <c r="C29" s="125" t="s">
        <v>141</v>
      </c>
      <c r="D29" s="125" t="s">
        <v>162</v>
      </c>
      <c r="E29" s="125" t="s">
        <v>163</v>
      </c>
      <c r="F29" s="125" t="s">
        <v>175</v>
      </c>
      <c r="G29" s="125" t="s">
        <v>176</v>
      </c>
      <c r="H29" s="125" t="s">
        <v>177</v>
      </c>
      <c r="I29" s="125" t="s">
        <v>178</v>
      </c>
      <c r="J29" s="125" t="s">
        <v>174</v>
      </c>
      <c r="K29" s="125" t="s">
        <v>179</v>
      </c>
      <c r="L29" s="125" t="s">
        <v>180</v>
      </c>
      <c r="N29" s="181"/>
    </row>
    <row r="30" spans="1:14" x14ac:dyDescent="0.45">
      <c r="A30" s="65"/>
      <c r="B30" s="122" t="s">
        <v>138</v>
      </c>
      <c r="C30" s="122" t="s">
        <v>139</v>
      </c>
      <c r="D30" s="122" t="s">
        <v>139</v>
      </c>
      <c r="E30" s="122" t="s">
        <v>139</v>
      </c>
      <c r="F30" s="122" t="s">
        <v>139</v>
      </c>
      <c r="G30" s="122" t="s">
        <v>139</v>
      </c>
      <c r="H30" s="122" t="s">
        <v>139</v>
      </c>
      <c r="I30" s="122" t="s">
        <v>139</v>
      </c>
      <c r="J30" s="122" t="s">
        <v>139</v>
      </c>
      <c r="K30" s="122" t="s">
        <v>139</v>
      </c>
      <c r="L30" s="122" t="s">
        <v>139</v>
      </c>
      <c r="N30" s="181"/>
    </row>
    <row r="31" spans="1:14" x14ac:dyDescent="0.45">
      <c r="A31" s="66"/>
      <c r="B31" s="66"/>
      <c r="C31" s="66"/>
      <c r="D31" s="67"/>
      <c r="E31" s="67"/>
      <c r="F31" s="67"/>
      <c r="G31" s="67"/>
      <c r="H31" s="67"/>
      <c r="I31" s="67"/>
      <c r="J31" s="67"/>
      <c r="K31" s="67"/>
      <c r="L31" s="67"/>
      <c r="N31" s="183"/>
    </row>
    <row r="32" spans="1:14" x14ac:dyDescent="0.45">
      <c r="A32" s="68" t="s">
        <v>181</v>
      </c>
      <c r="B32" s="47">
        <v>74644510</v>
      </c>
      <c r="C32" s="47">
        <f>B32*1.1</f>
        <v>82108961</v>
      </c>
      <c r="D32" s="47">
        <f>C32*1.08</f>
        <v>88677677.88000001</v>
      </c>
      <c r="E32" s="47">
        <f>D32*1.08</f>
        <v>95771892.110400021</v>
      </c>
      <c r="F32" s="47">
        <f>E32*1.13</f>
        <v>108222238.08475201</v>
      </c>
      <c r="G32" s="47">
        <f>F32*1.15</f>
        <v>124455573.7974648</v>
      </c>
      <c r="H32" s="47">
        <f>G32*1.11</f>
        <v>138145686.91518596</v>
      </c>
      <c r="I32" s="47">
        <f>H32*1.12</f>
        <v>154723169.34500828</v>
      </c>
      <c r="J32" s="47">
        <f>I32*1.13</f>
        <v>174837181.35985935</v>
      </c>
      <c r="K32" s="47">
        <f>J32*1.1</f>
        <v>192320899.49584529</v>
      </c>
      <c r="L32" s="47">
        <f>K32*1.1</f>
        <v>211552989.44542983</v>
      </c>
      <c r="N32" s="182"/>
    </row>
    <row r="33" spans="1:15" x14ac:dyDescent="0.45">
      <c r="A33" s="68" t="s">
        <v>75</v>
      </c>
      <c r="B33" s="47">
        <v>0</v>
      </c>
      <c r="C33" s="127">
        <v>0</v>
      </c>
      <c r="D33" s="127">
        <f t="shared" ref="D33:E33" si="1">C33*1.1</f>
        <v>0</v>
      </c>
      <c r="E33" s="127">
        <f t="shared" si="1"/>
        <v>0</v>
      </c>
      <c r="F33" s="127">
        <f>E33*1.1</f>
        <v>0</v>
      </c>
      <c r="G33" s="127">
        <f t="shared" ref="G33:J33" si="2">F33*1.1</f>
        <v>0</v>
      </c>
      <c r="H33" s="127">
        <f t="shared" si="2"/>
        <v>0</v>
      </c>
      <c r="I33" s="127">
        <f t="shared" si="2"/>
        <v>0</v>
      </c>
      <c r="J33" s="127">
        <f t="shared" si="2"/>
        <v>0</v>
      </c>
      <c r="K33" s="127">
        <f>J33*1.1</f>
        <v>0</v>
      </c>
      <c r="L33" s="127">
        <f>K33*1.1</f>
        <v>0</v>
      </c>
      <c r="N33" s="184"/>
    </row>
    <row r="34" spans="1:15" x14ac:dyDescent="0.45">
      <c r="A34" s="69" t="s">
        <v>96</v>
      </c>
      <c r="B34" s="70">
        <f>SUM(B32:B33)</f>
        <v>74644510</v>
      </c>
      <c r="C34" s="70">
        <f t="shared" ref="C34" si="3">SUM(C32:C33)</f>
        <v>82108961</v>
      </c>
      <c r="D34" s="70">
        <f t="shared" ref="D34" si="4">SUM(D32:D33)</f>
        <v>88677677.88000001</v>
      </c>
      <c r="E34" s="70">
        <f t="shared" ref="E34" si="5">SUM(E32:E33)</f>
        <v>95771892.110400021</v>
      </c>
      <c r="F34" s="70">
        <f t="shared" ref="F34" si="6">SUM(F32:F33)</f>
        <v>108222238.08475201</v>
      </c>
      <c r="G34" s="70">
        <f>SUM(G32:G33)</f>
        <v>124455573.7974648</v>
      </c>
      <c r="H34" s="70">
        <f t="shared" ref="H34:K34" si="7">SUM(H32:H33)</f>
        <v>138145686.91518596</v>
      </c>
      <c r="I34" s="70">
        <f t="shared" si="7"/>
        <v>154723169.34500828</v>
      </c>
      <c r="J34" s="70">
        <f t="shared" si="7"/>
        <v>174837181.35985935</v>
      </c>
      <c r="K34" s="70">
        <f t="shared" si="7"/>
        <v>192320899.49584529</v>
      </c>
      <c r="L34" s="70">
        <f t="shared" ref="L34" si="8">SUM(L32:L33)</f>
        <v>211552989.44542983</v>
      </c>
      <c r="N34" s="182"/>
    </row>
    <row r="35" spans="1:15" x14ac:dyDescent="0.45">
      <c r="A35" s="71"/>
      <c r="B35" s="71"/>
      <c r="C35" s="71"/>
      <c r="D35" s="67"/>
      <c r="E35" s="67"/>
      <c r="F35" s="67"/>
      <c r="G35" s="67"/>
      <c r="H35" s="67"/>
      <c r="I35" s="67"/>
      <c r="J35" s="67"/>
      <c r="K35" s="67"/>
      <c r="L35" s="67"/>
      <c r="N35" s="183"/>
    </row>
    <row r="36" spans="1:15" x14ac:dyDescent="0.45">
      <c r="A36" s="68" t="s">
        <v>95</v>
      </c>
      <c r="B36" s="47">
        <f>58872474-1522664</f>
        <v>57349810</v>
      </c>
      <c r="C36" s="127">
        <f>C32*76%</f>
        <v>62402810.359999999</v>
      </c>
      <c r="D36" s="127">
        <f>D32*76.5%</f>
        <v>67838423.578200012</v>
      </c>
      <c r="E36" s="127">
        <f>E32*76.5%</f>
        <v>73265497.464456022</v>
      </c>
      <c r="F36" s="127">
        <f>F32*77%</f>
        <v>83331123.325259045</v>
      </c>
      <c r="G36" s="127">
        <f>G32*77%</f>
        <v>95830791.824047893</v>
      </c>
      <c r="H36" s="127">
        <f>H32*76.7%</f>
        <v>105957741.86394763</v>
      </c>
      <c r="I36" s="127">
        <f t="shared" ref="I36:L36" si="9">I32*76.7%</f>
        <v>118672670.88762136</v>
      </c>
      <c r="J36" s="127">
        <f t="shared" si="9"/>
        <v>134100118.10301211</v>
      </c>
      <c r="K36" s="127">
        <f t="shared" si="9"/>
        <v>147510129.91331333</v>
      </c>
      <c r="L36" s="127">
        <f t="shared" si="9"/>
        <v>162261142.9046447</v>
      </c>
      <c r="N36" s="185"/>
      <c r="O36" s="41" t="s">
        <v>121</v>
      </c>
    </row>
    <row r="37" spans="1:15" x14ac:dyDescent="0.45">
      <c r="A37" s="68" t="s">
        <v>187</v>
      </c>
      <c r="B37" s="47">
        <f>1522664+10942979</f>
        <v>12465643</v>
      </c>
      <c r="C37" s="47">
        <f>C34*17%</f>
        <v>13958523.370000001</v>
      </c>
      <c r="D37" s="47">
        <f>D34*16.7%</f>
        <v>14809172.20596</v>
      </c>
      <c r="E37" s="47">
        <f t="shared" ref="E37:H37" si="10">E34*17%</f>
        <v>16281221.658768006</v>
      </c>
      <c r="F37" s="47">
        <f>F34*16.8%</f>
        <v>18181335.99823834</v>
      </c>
      <c r="G37" s="47">
        <f t="shared" si="10"/>
        <v>21157447.545569018</v>
      </c>
      <c r="H37" s="47">
        <f t="shared" si="10"/>
        <v>23484766.775581613</v>
      </c>
      <c r="I37" s="47">
        <f>I34*16.8%</f>
        <v>25993492.449961394</v>
      </c>
      <c r="J37" s="47">
        <f>J34*16.9%</f>
        <v>29547483.649816226</v>
      </c>
      <c r="K37" s="47">
        <f>K34*16.7%</f>
        <v>32117590.21580616</v>
      </c>
      <c r="L37" s="47">
        <f>L34*16.8%</f>
        <v>35540902.226832211</v>
      </c>
      <c r="N37" s="182"/>
    </row>
    <row r="38" spans="1:15" x14ac:dyDescent="0.45">
      <c r="A38" s="69" t="s">
        <v>97</v>
      </c>
      <c r="B38" s="70">
        <f>SUM(B36:B37)</f>
        <v>69815453</v>
      </c>
      <c r="C38" s="70">
        <f t="shared" ref="C38" si="11">SUM(C36:C37)</f>
        <v>76361333.730000004</v>
      </c>
      <c r="D38" s="70">
        <f t="shared" ref="D38" si="12">SUM(D36:D37)</f>
        <v>82647595.784160018</v>
      </c>
      <c r="E38" s="70">
        <f t="shared" ref="E38" si="13">SUM(E36:E37)</f>
        <v>89546719.12322402</v>
      </c>
      <c r="F38" s="70">
        <f t="shared" ref="F38" si="14">SUM(F36:F37)</f>
        <v>101512459.32349738</v>
      </c>
      <c r="G38" s="70">
        <f>SUM(G36:G37)</f>
        <v>116988239.36961691</v>
      </c>
      <c r="H38" s="70">
        <f t="shared" ref="H38:K38" si="15">SUM(H36:H37)</f>
        <v>129442508.63952924</v>
      </c>
      <c r="I38" s="70">
        <f t="shared" si="15"/>
        <v>144666163.33758277</v>
      </c>
      <c r="J38" s="70">
        <f t="shared" si="15"/>
        <v>163647601.75282833</v>
      </c>
      <c r="K38" s="70">
        <f t="shared" si="15"/>
        <v>179627720.12911949</v>
      </c>
      <c r="L38" s="70">
        <f t="shared" ref="L38" si="16">SUM(L36:L37)</f>
        <v>197802045.13147691</v>
      </c>
      <c r="N38" s="182"/>
    </row>
    <row r="39" spans="1:15" x14ac:dyDescent="0.45">
      <c r="A39" s="68"/>
      <c r="B39" s="68"/>
      <c r="C39" s="68"/>
      <c r="D39" s="47"/>
      <c r="E39" s="47"/>
      <c r="F39" s="47"/>
      <c r="G39" s="47"/>
      <c r="H39" s="47"/>
      <c r="I39" s="47"/>
      <c r="J39" s="47"/>
      <c r="K39" s="47"/>
      <c r="L39" s="47"/>
      <c r="N39" s="182"/>
    </row>
    <row r="40" spans="1:15" x14ac:dyDescent="0.45">
      <c r="A40" s="72" t="s">
        <v>118</v>
      </c>
      <c r="B40" s="73">
        <f>B34-B38</f>
        <v>4829057</v>
      </c>
      <c r="C40" s="73">
        <f t="shared" ref="C40:E40" si="17">C34-C38</f>
        <v>5747627.2699999958</v>
      </c>
      <c r="D40" s="73">
        <f t="shared" si="17"/>
        <v>6030082.0958399922</v>
      </c>
      <c r="E40" s="73">
        <f t="shared" si="17"/>
        <v>6225172.9871760011</v>
      </c>
      <c r="F40" s="73">
        <f>F34-F38</f>
        <v>6709778.7612546235</v>
      </c>
      <c r="G40" s="73">
        <f t="shared" ref="G40:K40" si="18">G34-G38</f>
        <v>7467334.427847892</v>
      </c>
      <c r="H40" s="73">
        <f t="shared" si="18"/>
        <v>8703178.275656715</v>
      </c>
      <c r="I40" s="73">
        <f t="shared" si="18"/>
        <v>10057006.007425517</v>
      </c>
      <c r="J40" s="73">
        <f t="shared" si="18"/>
        <v>11189579.607031018</v>
      </c>
      <c r="K40" s="73">
        <f t="shared" si="18"/>
        <v>12693179.366725802</v>
      </c>
      <c r="L40" s="73">
        <f t="shared" ref="L40" si="19">L34-L38</f>
        <v>13750944.313952923</v>
      </c>
      <c r="N40" s="86"/>
    </row>
    <row r="41" spans="1:15" x14ac:dyDescent="0.45">
      <c r="A41" s="68" t="s">
        <v>119</v>
      </c>
      <c r="B41" s="74">
        <f>B40/B34%</f>
        <v>6.4694067922744756</v>
      </c>
      <c r="C41" s="74">
        <f t="shared" ref="C41:E41" si="20">C40/C34%</f>
        <v>6.9999999999999947</v>
      </c>
      <c r="D41" s="74">
        <f t="shared" si="20"/>
        <v>6.7999999999999901</v>
      </c>
      <c r="E41" s="74">
        <f t="shared" si="20"/>
        <v>6.5</v>
      </c>
      <c r="F41" s="74">
        <f>F40/F34%</f>
        <v>6.1999999999999984</v>
      </c>
      <c r="G41" s="74">
        <f t="shared" ref="G41:K41" si="21">G40/G34%</f>
        <v>6.0000000000000027</v>
      </c>
      <c r="H41" s="74">
        <f t="shared" si="21"/>
        <v>6.3</v>
      </c>
      <c r="I41" s="74">
        <f t="shared" si="21"/>
        <v>6.4999999999999858</v>
      </c>
      <c r="J41" s="74">
        <f t="shared" si="21"/>
        <v>6.400000000000011</v>
      </c>
      <c r="K41" s="74">
        <f t="shared" si="21"/>
        <v>6.6000000000000068</v>
      </c>
      <c r="L41" s="74">
        <f t="shared" ref="L41" si="22">L40/L34%</f>
        <v>6.499999999999992</v>
      </c>
      <c r="N41" s="56"/>
    </row>
    <row r="42" spans="1:15" x14ac:dyDescent="0.45">
      <c r="A42" s="68"/>
      <c r="B42" s="68"/>
      <c r="C42" s="68"/>
      <c r="D42" s="47"/>
      <c r="E42" s="47"/>
      <c r="F42" s="47"/>
      <c r="G42" s="47"/>
      <c r="H42" s="47"/>
      <c r="I42" s="47"/>
      <c r="J42" s="47"/>
      <c r="K42" s="47"/>
      <c r="L42" s="47"/>
      <c r="N42" s="182"/>
    </row>
    <row r="43" spans="1:15" x14ac:dyDescent="0.45">
      <c r="A43" s="75" t="s">
        <v>32</v>
      </c>
      <c r="B43" s="75"/>
      <c r="C43" s="75"/>
      <c r="D43" s="47"/>
      <c r="E43" s="47"/>
      <c r="F43" s="47"/>
      <c r="G43" s="47"/>
      <c r="H43" s="47"/>
      <c r="I43" s="47"/>
      <c r="J43" s="47"/>
      <c r="K43" s="47"/>
      <c r="L43" s="47"/>
      <c r="N43" s="182"/>
    </row>
    <row r="44" spans="1:15" ht="66" x14ac:dyDescent="0.45">
      <c r="A44" s="76" t="s">
        <v>103</v>
      </c>
      <c r="B44" s="47">
        <f>'SCH 2'!B23</f>
        <v>2413055</v>
      </c>
      <c r="C44" s="47">
        <f>'SCH 2'!C23</f>
        <v>2770657.3999999994</v>
      </c>
      <c r="D44" s="47">
        <f>'SCH 2'!D23</f>
        <v>3040457.6514999997</v>
      </c>
      <c r="E44" s="47">
        <f>'SCH 2'!E23</f>
        <v>3336674.5282149999</v>
      </c>
      <c r="F44" s="47">
        <f>'SCH 2'!F23</f>
        <v>3661905.4315217505</v>
      </c>
      <c r="G44" s="47">
        <f>'SCH 2'!G23</f>
        <v>4273499.3083964493</v>
      </c>
      <c r="H44" s="47">
        <f>'SCH 2'!H23</f>
        <v>4691050.2739259694</v>
      </c>
      <c r="I44" s="47">
        <f>'SCH 2'!I23</f>
        <v>5149593.7047977876</v>
      </c>
      <c r="J44" s="47">
        <f>'SCH 2'!J23</f>
        <v>5653168.7868605573</v>
      </c>
      <c r="K44" s="47">
        <f>'SCH 2'!K23</f>
        <v>6206213.8568794653</v>
      </c>
      <c r="L44" s="47">
        <f>'SCH 2'!L23</f>
        <v>6813605.9371463833</v>
      </c>
      <c r="N44" s="182"/>
    </row>
    <row r="45" spans="1:15" hidden="1" x14ac:dyDescent="0.45">
      <c r="A45" s="77" t="s">
        <v>10</v>
      </c>
      <c r="B45" s="78"/>
      <c r="C45" s="78"/>
      <c r="D45" s="78">
        <v>1836636.95</v>
      </c>
      <c r="E45" s="78">
        <v>2007831.895</v>
      </c>
      <c r="F45" s="78">
        <v>2208615.0845000003</v>
      </c>
      <c r="G45" s="78"/>
      <c r="H45" s="78"/>
      <c r="I45" s="78"/>
      <c r="J45" s="78"/>
      <c r="K45" s="78"/>
      <c r="L45" s="78"/>
      <c r="N45" s="182"/>
    </row>
    <row r="46" spans="1:15" x14ac:dyDescent="0.45">
      <c r="A46" s="79" t="s">
        <v>53</v>
      </c>
      <c r="B46" s="47">
        <f>B40-B44</f>
        <v>2416002</v>
      </c>
      <c r="C46" s="47">
        <f t="shared" ref="C46:E46" si="23">C40-C44</f>
        <v>2976969.8699999964</v>
      </c>
      <c r="D46" s="47">
        <f t="shared" si="23"/>
        <v>2989624.4443399925</v>
      </c>
      <c r="E46" s="47">
        <f t="shared" si="23"/>
        <v>2888498.4589610011</v>
      </c>
      <c r="F46" s="47">
        <f>F40-F44</f>
        <v>3047873.329732873</v>
      </c>
      <c r="G46" s="47">
        <f t="shared" ref="G46:K46" si="24">G40-G44</f>
        <v>3193835.1194514427</v>
      </c>
      <c r="H46" s="47">
        <f t="shared" si="24"/>
        <v>4012128.0017307457</v>
      </c>
      <c r="I46" s="47">
        <f t="shared" si="24"/>
        <v>4907412.3026277293</v>
      </c>
      <c r="J46" s="47">
        <f t="shared" si="24"/>
        <v>5536410.8201704603</v>
      </c>
      <c r="K46" s="47">
        <f t="shared" si="24"/>
        <v>6486965.5098463371</v>
      </c>
      <c r="L46" s="47">
        <f t="shared" ref="L46" si="25">L40-L44</f>
        <v>6937338.3768065395</v>
      </c>
      <c r="N46" s="182"/>
    </row>
    <row r="47" spans="1:15" s="80" customFormat="1" x14ac:dyDescent="0.45">
      <c r="A47" s="68" t="s">
        <v>140</v>
      </c>
      <c r="B47" s="48">
        <v>295608</v>
      </c>
      <c r="C47" s="48">
        <f>EMI!J23+OD!E11</f>
        <v>485423.67258062516</v>
      </c>
      <c r="D47" s="48">
        <f>EMI!J35+OD!E12</f>
        <v>611762.23334452859</v>
      </c>
      <c r="E47" s="48">
        <f>EMI!J47+OD!E13</f>
        <v>559424.30689073808</v>
      </c>
      <c r="F47" s="48">
        <f>EMI!J59+OD!E14</f>
        <v>503048.10105556389</v>
      </c>
      <c r="G47" s="48">
        <f>EMI!J82+OD!E15</f>
        <v>376395.81411596923</v>
      </c>
      <c r="H47" s="48">
        <f>EMI!J94+OD!E16</f>
        <v>311792.78886860819</v>
      </c>
      <c r="I47" s="48">
        <f>EMI!J106+OD!E17</f>
        <v>246584.93541621685</v>
      </c>
      <c r="J47" s="48">
        <f>EMI!J118+OD!E18</f>
        <v>175526.08753165384</v>
      </c>
      <c r="K47" s="48">
        <f>EMI!J130+OD!E19</f>
        <v>97474.011797151878</v>
      </c>
      <c r="L47" s="48">
        <f>EMI!J124+OD!E20+EMI!J130</f>
        <v>90929.176797151871</v>
      </c>
      <c r="N47" s="182"/>
    </row>
    <row r="48" spans="1:15" x14ac:dyDescent="0.45">
      <c r="A48" s="79" t="s">
        <v>54</v>
      </c>
      <c r="B48" s="47">
        <f>B46-B47</f>
        <v>2120394</v>
      </c>
      <c r="C48" s="47">
        <f t="shared" ref="C48:E48" si="26">C46-C47</f>
        <v>2491546.1974193715</v>
      </c>
      <c r="D48" s="47">
        <f t="shared" si="26"/>
        <v>2377862.2109954637</v>
      </c>
      <c r="E48" s="47">
        <f t="shared" si="26"/>
        <v>2329074.1520702629</v>
      </c>
      <c r="F48" s="47">
        <f>F46-F47</f>
        <v>2544825.2286773091</v>
      </c>
      <c r="G48" s="47">
        <f t="shared" ref="G48:K48" si="27">G46-G47</f>
        <v>2817439.3053354733</v>
      </c>
      <c r="H48" s="47">
        <f t="shared" si="27"/>
        <v>3700335.2128621377</v>
      </c>
      <c r="I48" s="47">
        <f t="shared" si="27"/>
        <v>4660827.3672115123</v>
      </c>
      <c r="J48" s="47">
        <f t="shared" si="27"/>
        <v>5360884.7326388061</v>
      </c>
      <c r="K48" s="47">
        <f t="shared" si="27"/>
        <v>6389491.4980491856</v>
      </c>
      <c r="L48" s="47">
        <f t="shared" ref="L48" si="28">L46-L47</f>
        <v>6846409.2000093879</v>
      </c>
      <c r="N48" s="182"/>
    </row>
    <row r="49" spans="1:14" x14ac:dyDescent="0.45">
      <c r="A49" s="68" t="s">
        <v>11</v>
      </c>
      <c r="B49" s="47">
        <f>B226</f>
        <v>32524.199999999997</v>
      </c>
      <c r="C49" s="47">
        <f t="shared" ref="C49:E49" si="29">C226</f>
        <v>51395.569999999992</v>
      </c>
      <c r="D49" s="47">
        <f t="shared" si="29"/>
        <v>65061.234499999999</v>
      </c>
      <c r="E49" s="47">
        <f t="shared" si="29"/>
        <v>51567.674325</v>
      </c>
      <c r="F49" s="47">
        <f>F226</f>
        <v>41720.804426249997</v>
      </c>
      <c r="G49" s="47">
        <f t="shared" ref="G49:K49" si="30">G226</f>
        <v>34319.050949812503</v>
      </c>
      <c r="H49" s="47">
        <f t="shared" si="30"/>
        <v>47464.109322965618</v>
      </c>
      <c r="I49" s="47">
        <f t="shared" si="30"/>
        <v>40111.831498739528</v>
      </c>
      <c r="J49" s="47">
        <f t="shared" si="30"/>
        <v>34056.754610842661</v>
      </c>
      <c r="K49" s="47">
        <f t="shared" si="30"/>
        <v>29018.761312526807</v>
      </c>
      <c r="L49" s="47">
        <f t="shared" ref="L49" si="31">L226</f>
        <v>24794.1620996932</v>
      </c>
      <c r="N49" s="182"/>
    </row>
    <row r="50" spans="1:14" x14ac:dyDescent="0.45">
      <c r="A50" s="79" t="s">
        <v>12</v>
      </c>
      <c r="B50" s="78">
        <f>B48-B49</f>
        <v>2087869.8</v>
      </c>
      <c r="C50" s="78">
        <f t="shared" ref="C50:E50" si="32">C48-C49</f>
        <v>2440150.6274193716</v>
      </c>
      <c r="D50" s="78">
        <f t="shared" si="32"/>
        <v>2312800.9764954639</v>
      </c>
      <c r="E50" s="78">
        <f t="shared" si="32"/>
        <v>2277506.4777452629</v>
      </c>
      <c r="F50" s="78">
        <f>F48-F49</f>
        <v>2503104.4242510591</v>
      </c>
      <c r="G50" s="78">
        <f t="shared" ref="G50:K50" si="33">G48-G49</f>
        <v>2783120.2543856609</v>
      </c>
      <c r="H50" s="78">
        <f t="shared" si="33"/>
        <v>3652871.1035391721</v>
      </c>
      <c r="I50" s="78">
        <f t="shared" si="33"/>
        <v>4620715.535712773</v>
      </c>
      <c r="J50" s="78">
        <f t="shared" si="33"/>
        <v>5326827.9780279631</v>
      </c>
      <c r="K50" s="78">
        <f t="shared" si="33"/>
        <v>6360472.736736659</v>
      </c>
      <c r="L50" s="78">
        <f t="shared" ref="L50" si="34">L48-L49</f>
        <v>6821615.0379096949</v>
      </c>
      <c r="N50" s="182"/>
    </row>
    <row r="51" spans="1:14" x14ac:dyDescent="0.45">
      <c r="A51" s="68" t="s">
        <v>115</v>
      </c>
      <c r="B51" s="78">
        <f>(B50-2000000)*26%+208000</f>
        <v>230846.14800000002</v>
      </c>
      <c r="C51" s="78">
        <f>(C50-2400000)*31.2%+312000</f>
        <v>324526.99575484393</v>
      </c>
      <c r="D51" s="78">
        <f>(2400000-D50)*26%+208000</f>
        <v>230671.74611117941</v>
      </c>
      <c r="E51" s="78">
        <f>(2400000-E50)*26%+208000</f>
        <v>239848.31578623166</v>
      </c>
      <c r="F51" s="78">
        <f>(F50-2400000)*31.2%+312000</f>
        <v>344168.58036633045</v>
      </c>
      <c r="G51" s="78">
        <f t="shared" ref="G51:L51" si="35">(G50-2400000)*31.2%+312000</f>
        <v>431533.51936832618</v>
      </c>
      <c r="H51" s="78">
        <f t="shared" si="35"/>
        <v>702895.78430422163</v>
      </c>
      <c r="I51" s="78">
        <f t="shared" si="35"/>
        <v>1004863.2471423852</v>
      </c>
      <c r="J51" s="78">
        <f t="shared" si="35"/>
        <v>1225170.3291447246</v>
      </c>
      <c r="K51" s="78">
        <f t="shared" si="35"/>
        <v>1547667.4938618375</v>
      </c>
      <c r="L51" s="78">
        <f t="shared" si="35"/>
        <v>1691543.8918278248</v>
      </c>
      <c r="N51" s="182"/>
    </row>
    <row r="52" spans="1:14" x14ac:dyDescent="0.45">
      <c r="A52" s="79" t="s">
        <v>116</v>
      </c>
      <c r="B52" s="78">
        <f>B50-B51</f>
        <v>1857023.652</v>
      </c>
      <c r="C52" s="78">
        <f t="shared" ref="C52:E52" si="36">C50-C51</f>
        <v>2115623.6316645276</v>
      </c>
      <c r="D52" s="78">
        <f t="shared" si="36"/>
        <v>2082129.2303842844</v>
      </c>
      <c r="E52" s="78">
        <f t="shared" si="36"/>
        <v>2037658.1619590311</v>
      </c>
      <c r="F52" s="78">
        <f>F50-F51</f>
        <v>2158935.8438847288</v>
      </c>
      <c r="G52" s="78">
        <f t="shared" ref="G52:K52" si="37">G50-G51</f>
        <v>2351586.7350173346</v>
      </c>
      <c r="H52" s="78">
        <f t="shared" si="37"/>
        <v>2949975.3192349505</v>
      </c>
      <c r="I52" s="78">
        <f t="shared" si="37"/>
        <v>3615852.2885703878</v>
      </c>
      <c r="J52" s="78">
        <f t="shared" si="37"/>
        <v>4101657.6488832384</v>
      </c>
      <c r="K52" s="78">
        <f t="shared" si="37"/>
        <v>4812805.2428748216</v>
      </c>
      <c r="L52" s="78">
        <f t="shared" ref="L52" si="38">L50-L51</f>
        <v>5130071.1460818704</v>
      </c>
      <c r="N52" s="182"/>
    </row>
    <row r="53" spans="1:14" x14ac:dyDescent="0.45">
      <c r="A53" s="81" t="s">
        <v>56</v>
      </c>
      <c r="B53" s="54">
        <v>4.1614388763673222</v>
      </c>
      <c r="C53" s="54">
        <v>5.330940500129258</v>
      </c>
      <c r="D53" s="54">
        <v>7.6148790666346917</v>
      </c>
      <c r="E53" s="54">
        <v>7.2541805582585246</v>
      </c>
      <c r="F53" s="54">
        <v>6.9934304395939799</v>
      </c>
      <c r="G53" s="54">
        <v>6.9934304395939799</v>
      </c>
      <c r="H53" s="54">
        <v>6.9934304395939799</v>
      </c>
      <c r="I53" s="54">
        <v>6.9934304395939799</v>
      </c>
      <c r="J53" s="54">
        <v>6.9934304395939799</v>
      </c>
      <c r="K53" s="54">
        <v>6.9934304395939799</v>
      </c>
      <c r="L53" s="54">
        <v>6.9934304395939799</v>
      </c>
      <c r="N53" s="56"/>
    </row>
    <row r="54" spans="1:14" x14ac:dyDescent="0.45">
      <c r="A54" s="81" t="s">
        <v>55</v>
      </c>
      <c r="B54" s="54">
        <v>1.147791243151419</v>
      </c>
      <c r="C54" s="54">
        <v>1.7642670245361516</v>
      </c>
      <c r="D54" s="54">
        <v>2.6227990535307244</v>
      </c>
      <c r="E54" s="54">
        <v>2.5155614190675548</v>
      </c>
      <c r="F54" s="54">
        <v>2.827207349048888</v>
      </c>
      <c r="G54" s="54">
        <v>2.827207349048888</v>
      </c>
      <c r="H54" s="54">
        <v>2.827207349048888</v>
      </c>
      <c r="I54" s="54">
        <v>2.827207349048888</v>
      </c>
      <c r="J54" s="54">
        <v>2.827207349048888</v>
      </c>
      <c r="K54" s="54">
        <v>2.827207349048888</v>
      </c>
      <c r="L54" s="54">
        <v>2.827207349048888</v>
      </c>
      <c r="N54" s="56"/>
    </row>
    <row r="55" spans="1:14" x14ac:dyDescent="0.45">
      <c r="A55" s="82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N55" s="50"/>
    </row>
    <row r="56" spans="1:14" x14ac:dyDescent="0.45"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2"/>
    </row>
    <row r="57" spans="1:14" x14ac:dyDescent="0.45">
      <c r="A57" s="211" t="str">
        <f>A24</f>
        <v>M/S SHREE ENTERPRISES</v>
      </c>
      <c r="B57" s="211"/>
      <c r="C57" s="211"/>
    </row>
    <row r="58" spans="1:14" x14ac:dyDescent="0.45"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2"/>
    </row>
    <row r="59" spans="1:14" x14ac:dyDescent="0.45">
      <c r="A59" s="214" t="s">
        <v>13</v>
      </c>
      <c r="B59" s="214"/>
      <c r="C59" s="214"/>
    </row>
    <row r="60" spans="1:14" x14ac:dyDescent="0.45"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42"/>
    </row>
    <row r="61" spans="1:14" x14ac:dyDescent="0.45">
      <c r="A61" s="64" t="s">
        <v>0</v>
      </c>
      <c r="B61" s="125" t="str">
        <f>B29</f>
        <v>31 Mar,26</v>
      </c>
      <c r="C61" s="125" t="str">
        <f t="shared" ref="C61:L61" si="39">C29</f>
        <v>31 Mar,27</v>
      </c>
      <c r="D61" s="125" t="str">
        <f t="shared" si="39"/>
        <v>31 Mar,28</v>
      </c>
      <c r="E61" s="125" t="str">
        <f t="shared" si="39"/>
        <v>31 Mar,29</v>
      </c>
      <c r="F61" s="125" t="str">
        <f t="shared" si="39"/>
        <v>32 Mar,30</v>
      </c>
      <c r="G61" s="125" t="str">
        <f t="shared" si="39"/>
        <v>32 Mar,31</v>
      </c>
      <c r="H61" s="125" t="str">
        <f t="shared" si="39"/>
        <v>33 Mar,32</v>
      </c>
      <c r="I61" s="125" t="str">
        <f t="shared" si="39"/>
        <v>33 Mar,33</v>
      </c>
      <c r="J61" s="125" t="str">
        <f t="shared" si="39"/>
        <v>34 Mar,34</v>
      </c>
      <c r="K61" s="125" t="str">
        <f t="shared" si="39"/>
        <v>34 Mar,35</v>
      </c>
      <c r="L61" s="125" t="str">
        <f t="shared" si="39"/>
        <v>34 Mar,36</v>
      </c>
      <c r="N61" s="181"/>
    </row>
    <row r="62" spans="1:14" x14ac:dyDescent="0.45">
      <c r="A62" s="65"/>
      <c r="B62" s="122" t="str">
        <f>B30</f>
        <v>PROVISIONAL</v>
      </c>
      <c r="C62" s="122" t="s">
        <v>139</v>
      </c>
      <c r="D62" s="122" t="s">
        <v>139</v>
      </c>
      <c r="E62" s="122" t="s">
        <v>139</v>
      </c>
      <c r="F62" s="122" t="s">
        <v>139</v>
      </c>
      <c r="G62" s="122" t="s">
        <v>139</v>
      </c>
      <c r="H62" s="122" t="s">
        <v>139</v>
      </c>
      <c r="I62" s="122" t="s">
        <v>139</v>
      </c>
      <c r="J62" s="122" t="s">
        <v>139</v>
      </c>
      <c r="K62" s="122" t="s">
        <v>139</v>
      </c>
      <c r="L62" s="122" t="s">
        <v>139</v>
      </c>
      <c r="N62" s="181"/>
    </row>
    <row r="63" spans="1:14" x14ac:dyDescent="0.45">
      <c r="A63" s="46"/>
      <c r="B63" s="46"/>
      <c r="C63" s="46"/>
      <c r="D63" s="69"/>
      <c r="E63" s="69"/>
      <c r="F63" s="198"/>
      <c r="G63" s="50"/>
      <c r="H63" s="69"/>
      <c r="I63" s="69"/>
      <c r="J63" s="69"/>
      <c r="K63" s="197"/>
      <c r="L63" s="197"/>
      <c r="N63" s="50"/>
    </row>
    <row r="64" spans="1:14" x14ac:dyDescent="0.45">
      <c r="A64" s="84" t="s">
        <v>14</v>
      </c>
      <c r="B64" s="84"/>
      <c r="C64" s="84"/>
      <c r="D64" s="69"/>
      <c r="E64" s="69"/>
      <c r="F64" s="69"/>
      <c r="G64" s="50"/>
      <c r="H64" s="69"/>
      <c r="I64" s="69"/>
      <c r="J64" s="69"/>
      <c r="K64" s="197"/>
      <c r="L64" s="197"/>
      <c r="N64" s="50"/>
    </row>
    <row r="65" spans="1:14" x14ac:dyDescent="0.45">
      <c r="A65" s="84"/>
      <c r="B65" s="84"/>
      <c r="C65" s="84"/>
      <c r="D65" s="47"/>
      <c r="E65" s="47"/>
      <c r="F65" s="47"/>
      <c r="G65" s="182"/>
      <c r="H65" s="47"/>
      <c r="I65" s="47"/>
      <c r="J65" s="47"/>
      <c r="K65" s="166"/>
      <c r="L65" s="166"/>
      <c r="N65" s="182"/>
    </row>
    <row r="66" spans="1:14" x14ac:dyDescent="0.45">
      <c r="A66" s="75" t="s">
        <v>102</v>
      </c>
      <c r="B66" s="47">
        <f>'SCH 2 cap'!B17</f>
        <v>1991424.6519999998</v>
      </c>
      <c r="C66" s="47">
        <f>'SCH 2 cap'!C17</f>
        <v>3049236.4678322636</v>
      </c>
      <c r="D66" s="47">
        <f>'SCH 2 cap'!D17</f>
        <v>4090301.0830244059</v>
      </c>
      <c r="E66" s="47">
        <f>'SCH 2 cap'!E17</f>
        <v>5109130.1640039207</v>
      </c>
      <c r="F66" s="47">
        <f>'SCH 2 cap'!F17</f>
        <v>6188598.0859462852</v>
      </c>
      <c r="G66" s="47">
        <f>'SCH 2 cap'!G17</f>
        <v>7364391.4534549518</v>
      </c>
      <c r="H66" s="47">
        <f>'SCH 2 cap'!H17</f>
        <v>8544381.5811489318</v>
      </c>
      <c r="I66" s="47">
        <f>'SCH 2 cap'!I17</f>
        <v>9990722.4965770859</v>
      </c>
      <c r="J66" s="47">
        <f>'SCH 2 cap'!J17</f>
        <v>11631385.556130381</v>
      </c>
      <c r="K66" s="47">
        <f>'SCH 2 cap'!K17</f>
        <v>13556507.65328031</v>
      </c>
      <c r="L66" s="47">
        <f>'SCH 2 cap'!L17</f>
        <v>15608536.111713061</v>
      </c>
      <c r="N66" s="182"/>
    </row>
    <row r="67" spans="1:14" x14ac:dyDescent="0.45">
      <c r="A67" s="71" t="s">
        <v>15</v>
      </c>
      <c r="B67" s="47"/>
      <c r="C67" s="47"/>
      <c r="D67" s="47"/>
      <c r="E67" s="47"/>
      <c r="F67" s="47"/>
      <c r="G67" s="182"/>
      <c r="H67" s="47"/>
      <c r="I67" s="47"/>
      <c r="J67" s="47"/>
      <c r="K67" s="166"/>
      <c r="L67" s="166"/>
      <c r="N67" s="182"/>
    </row>
    <row r="68" spans="1:14" s="80" customFormat="1" x14ac:dyDescent="0.45">
      <c r="A68" s="68" t="s">
        <v>129</v>
      </c>
      <c r="B68" s="47">
        <v>0</v>
      </c>
      <c r="C68" s="47">
        <v>0</v>
      </c>
      <c r="D68" s="47">
        <v>0</v>
      </c>
      <c r="E68" s="47">
        <v>0</v>
      </c>
      <c r="F68" s="47">
        <v>0</v>
      </c>
      <c r="G68" s="182"/>
      <c r="H68" s="47"/>
      <c r="I68" s="47"/>
      <c r="J68" s="47"/>
      <c r="K68" s="166"/>
      <c r="L68" s="166"/>
      <c r="N68" s="182"/>
    </row>
    <row r="69" spans="1:14" s="80" customFormat="1" x14ac:dyDescent="0.45">
      <c r="A69" s="68" t="s">
        <v>164</v>
      </c>
      <c r="B69" s="47">
        <v>3323350</v>
      </c>
      <c r="C69" s="47">
        <f>EMI!F35+OD!C12</f>
        <v>6643355.3343817862</v>
      </c>
      <c r="D69" s="47">
        <f>EMI!F47+OD!C13</f>
        <v>6051749.5085769463</v>
      </c>
      <c r="E69" s="47">
        <f>EMI!F59+OD!C14</f>
        <v>5413995.7269369327</v>
      </c>
      <c r="F69" s="47">
        <f>EMI!F59+OD!C15</f>
        <v>5053245.7269369327</v>
      </c>
      <c r="G69" s="182">
        <f>EMI!F71+OD!C16</f>
        <v>4336234.2192660756</v>
      </c>
      <c r="H69" s="47">
        <f>EMI!F82+OD!C17</f>
        <v>2576053.8203705763</v>
      </c>
      <c r="I69" s="47">
        <f>EMI!F94+OD!C18</f>
        <v>1965543.1638577404</v>
      </c>
      <c r="J69" s="47">
        <f>EMI!F106+OD!C19</f>
        <v>1300395.9038925134</v>
      </c>
      <c r="K69" s="166">
        <f>EMI!F118+OD!C20</f>
        <v>959061.04604272335</v>
      </c>
      <c r="L69" s="166">
        <f>EMI!F130</f>
        <v>200263.36245843139</v>
      </c>
      <c r="N69" s="182"/>
    </row>
    <row r="70" spans="1:14" s="80" customFormat="1" x14ac:dyDescent="0.45">
      <c r="A70" s="75"/>
      <c r="B70" s="47"/>
      <c r="C70" s="47"/>
      <c r="D70" s="47"/>
      <c r="E70" s="47"/>
      <c r="F70" s="47"/>
      <c r="G70" s="182"/>
      <c r="H70" s="47"/>
      <c r="I70" s="47"/>
      <c r="J70" s="47"/>
      <c r="K70" s="166"/>
      <c r="L70" s="166"/>
      <c r="N70" s="182"/>
    </row>
    <row r="71" spans="1:14" s="80" customFormat="1" x14ac:dyDescent="0.45">
      <c r="A71" s="71" t="s">
        <v>136</v>
      </c>
      <c r="B71" s="47">
        <v>0</v>
      </c>
      <c r="C71" s="47">
        <v>0</v>
      </c>
      <c r="D71" s="47">
        <v>0</v>
      </c>
      <c r="E71" s="47">
        <v>0</v>
      </c>
      <c r="F71" s="47">
        <v>0</v>
      </c>
      <c r="G71" s="182"/>
      <c r="H71" s="47"/>
      <c r="I71" s="47"/>
      <c r="J71" s="47"/>
      <c r="K71" s="47"/>
      <c r="L71" s="166"/>
      <c r="N71" s="182"/>
    </row>
    <row r="72" spans="1:14" s="80" customFormat="1" x14ac:dyDescent="0.45">
      <c r="A72" s="68" t="s">
        <v>121</v>
      </c>
      <c r="B72" s="167"/>
      <c r="C72" s="167"/>
      <c r="D72" s="167"/>
      <c r="E72" s="167"/>
      <c r="F72" s="167"/>
      <c r="G72" s="180"/>
      <c r="H72" s="167"/>
      <c r="I72" s="167"/>
      <c r="J72" s="167"/>
      <c r="K72" s="167"/>
      <c r="L72" s="180"/>
    </row>
    <row r="73" spans="1:14" s="80" customFormat="1" x14ac:dyDescent="0.45">
      <c r="A73" s="75"/>
      <c r="B73" s="168"/>
      <c r="C73" s="168"/>
      <c r="D73" s="48"/>
      <c r="E73" s="48"/>
      <c r="F73" s="48"/>
      <c r="G73" s="182"/>
      <c r="H73" s="48"/>
      <c r="I73" s="48"/>
      <c r="J73" s="48"/>
      <c r="K73" s="166"/>
      <c r="L73" s="166"/>
      <c r="N73" s="182"/>
    </row>
    <row r="74" spans="1:14" s="80" customFormat="1" ht="33.75" thickBot="1" x14ac:dyDescent="0.5">
      <c r="A74" s="115" t="s">
        <v>16</v>
      </c>
      <c r="B74" s="116">
        <f>SUM(B66:B71)</f>
        <v>5314774.6519999998</v>
      </c>
      <c r="C74" s="116">
        <f>SUM(C66:C71)</f>
        <v>9692591.8022140488</v>
      </c>
      <c r="D74" s="116">
        <f>SUM(D66:D71)</f>
        <v>10142050.591601353</v>
      </c>
      <c r="E74" s="116">
        <f>SUM(E66:E71)</f>
        <v>10523125.890940852</v>
      </c>
      <c r="F74" s="116">
        <f>SUM(F66:F71)</f>
        <v>11241843.812883217</v>
      </c>
      <c r="G74" s="116">
        <f t="shared" ref="G74:K74" si="40">SUM(G66:G71)</f>
        <v>11700625.672721028</v>
      </c>
      <c r="H74" s="116">
        <f t="shared" si="40"/>
        <v>11120435.401519507</v>
      </c>
      <c r="I74" s="116">
        <f t="shared" si="40"/>
        <v>11956265.660434827</v>
      </c>
      <c r="J74" s="116">
        <f t="shared" si="40"/>
        <v>12931781.460022895</v>
      </c>
      <c r="K74" s="116">
        <f t="shared" si="40"/>
        <v>14515568.699323034</v>
      </c>
      <c r="L74" s="116">
        <f t="shared" ref="L74" si="41">SUM(L66:L71)</f>
        <v>15808799.474171493</v>
      </c>
      <c r="N74" s="86"/>
    </row>
    <row r="75" spans="1:14" s="80" customFormat="1" ht="33.75" thickTop="1" x14ac:dyDescent="0.45">
      <c r="A75" s="68"/>
      <c r="B75" s="68"/>
      <c r="C75" s="68"/>
      <c r="D75" s="47"/>
      <c r="E75" s="47"/>
      <c r="F75" s="47"/>
      <c r="G75" s="47"/>
      <c r="H75" s="47"/>
      <c r="I75" s="47"/>
      <c r="J75" s="47"/>
      <c r="K75" s="47"/>
      <c r="L75" s="47"/>
      <c r="N75" s="182"/>
    </row>
    <row r="76" spans="1:14" s="80" customFormat="1" x14ac:dyDescent="0.45">
      <c r="A76" s="84" t="s">
        <v>17</v>
      </c>
      <c r="B76" s="84"/>
      <c r="C76" s="84"/>
      <c r="D76" s="47"/>
      <c r="E76" s="47"/>
      <c r="F76" s="47"/>
      <c r="G76" s="47"/>
      <c r="H76" s="47"/>
      <c r="I76" s="47"/>
      <c r="J76" s="47"/>
      <c r="K76" s="47"/>
      <c r="L76" s="47"/>
      <c r="N76" s="182"/>
    </row>
    <row r="77" spans="1:14" s="80" customFormat="1" x14ac:dyDescent="0.45">
      <c r="A77" s="68"/>
      <c r="B77" s="68"/>
      <c r="C77" s="68"/>
      <c r="D77" s="47"/>
      <c r="E77" s="47"/>
      <c r="F77" s="47"/>
      <c r="G77" s="47"/>
      <c r="H77" s="47"/>
      <c r="I77" s="47"/>
      <c r="J77" s="47"/>
      <c r="K77" s="47"/>
      <c r="L77" s="47"/>
      <c r="N77" s="182"/>
    </row>
    <row r="78" spans="1:14" x14ac:dyDescent="0.45">
      <c r="A78" s="75" t="s">
        <v>98</v>
      </c>
      <c r="B78" s="47">
        <f>B227</f>
        <v>184303.8</v>
      </c>
      <c r="C78" s="47">
        <f t="shared" ref="C78:E78" si="42">C227</f>
        <v>397908.23</v>
      </c>
      <c r="D78" s="47">
        <f t="shared" si="42"/>
        <v>332846.99549999996</v>
      </c>
      <c r="E78" s="47">
        <f t="shared" si="42"/>
        <v>281279.32117499993</v>
      </c>
      <c r="F78" s="47">
        <f>F227</f>
        <v>239558.51674875</v>
      </c>
      <c r="G78" s="47">
        <f t="shared" ref="G78:K78" si="43">G227</f>
        <v>205239.46579893748</v>
      </c>
      <c r="H78" s="47">
        <f t="shared" si="43"/>
        <v>283525.35647597187</v>
      </c>
      <c r="I78" s="47">
        <f t="shared" si="43"/>
        <v>243413.52497723233</v>
      </c>
      <c r="J78" s="47">
        <f t="shared" si="43"/>
        <v>209356.77036638965</v>
      </c>
      <c r="K78" s="47">
        <f t="shared" si="43"/>
        <v>180338.00905386286</v>
      </c>
      <c r="L78" s="47">
        <f t="shared" ref="L78" si="44">L227</f>
        <v>155543.84695416965</v>
      </c>
      <c r="N78" s="182"/>
    </row>
    <row r="79" spans="1:14" x14ac:dyDescent="0.45">
      <c r="A79" s="75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182"/>
    </row>
    <row r="80" spans="1:14" x14ac:dyDescent="0.45">
      <c r="A80" s="75" t="s">
        <v>120</v>
      </c>
      <c r="B80" s="47">
        <v>139900</v>
      </c>
      <c r="C80" s="47">
        <f>B80+350000</f>
        <v>489900</v>
      </c>
      <c r="D80" s="47">
        <f t="shared" ref="D80:K80" si="45">C80+400000</f>
        <v>889900</v>
      </c>
      <c r="E80" s="47">
        <f t="shared" si="45"/>
        <v>1289900</v>
      </c>
      <c r="F80" s="47">
        <f t="shared" si="45"/>
        <v>1689900</v>
      </c>
      <c r="G80" s="47">
        <f t="shared" si="45"/>
        <v>2089900</v>
      </c>
      <c r="H80" s="47">
        <f t="shared" si="45"/>
        <v>2489900</v>
      </c>
      <c r="I80" s="47">
        <f t="shared" si="45"/>
        <v>2889900</v>
      </c>
      <c r="J80" s="47">
        <f t="shared" si="45"/>
        <v>3289900</v>
      </c>
      <c r="K80" s="47">
        <f t="shared" si="45"/>
        <v>3689900</v>
      </c>
      <c r="L80" s="47">
        <f>K80+150000</f>
        <v>3839900</v>
      </c>
      <c r="N80" s="182"/>
    </row>
    <row r="81" spans="1:14" x14ac:dyDescent="0.45">
      <c r="A81" s="75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182"/>
    </row>
    <row r="82" spans="1:14" x14ac:dyDescent="0.45">
      <c r="A82" s="75" t="s">
        <v>18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182"/>
    </row>
    <row r="83" spans="1:14" x14ac:dyDescent="0.45">
      <c r="A83" s="68" t="s">
        <v>76</v>
      </c>
      <c r="B83" s="47">
        <f>B33</f>
        <v>0</v>
      </c>
      <c r="C83" s="47">
        <f t="shared" ref="C83:E83" si="46">C33</f>
        <v>0</v>
      </c>
      <c r="D83" s="47">
        <f t="shared" si="46"/>
        <v>0</v>
      </c>
      <c r="E83" s="47">
        <f t="shared" si="46"/>
        <v>0</v>
      </c>
      <c r="F83" s="47">
        <f>F33</f>
        <v>0</v>
      </c>
      <c r="G83" s="47">
        <f t="shared" ref="G83:K83" si="47">G33</f>
        <v>0</v>
      </c>
      <c r="H83" s="47">
        <f t="shared" si="47"/>
        <v>0</v>
      </c>
      <c r="I83" s="47">
        <f t="shared" si="47"/>
        <v>0</v>
      </c>
      <c r="J83" s="47">
        <f t="shared" si="47"/>
        <v>0</v>
      </c>
      <c r="K83" s="47">
        <f t="shared" si="47"/>
        <v>0</v>
      </c>
      <c r="L83" s="47">
        <f t="shared" ref="L83" si="48">L33</f>
        <v>0</v>
      </c>
      <c r="N83" s="182"/>
    </row>
    <row r="84" spans="1:14" x14ac:dyDescent="0.45">
      <c r="A84" s="68" t="s">
        <v>2</v>
      </c>
      <c r="B84" s="47">
        <v>22029164</v>
      </c>
      <c r="C84" s="47">
        <f>C32/12*2.5-3627916</f>
        <v>13478117.541666668</v>
      </c>
      <c r="D84" s="47">
        <f>D32/12*2.5-2563598</f>
        <v>15910918.225000001</v>
      </c>
      <c r="E84" s="47">
        <f>E32/12*2.5-1839089</f>
        <v>18113388.523000006</v>
      </c>
      <c r="F84" s="47">
        <f>F32/12*2.5-437408</f>
        <v>22108891.600990001</v>
      </c>
      <c r="G84" s="47">
        <f>G32/12*2.5+870089</f>
        <v>26798333.5411385</v>
      </c>
      <c r="H84" s="47">
        <f t="shared" ref="H84:J84" si="49">H32/12*2.5</f>
        <v>28780351.440663744</v>
      </c>
      <c r="I84" s="47">
        <f t="shared" si="49"/>
        <v>32233993.613543395</v>
      </c>
      <c r="J84" s="47">
        <f t="shared" si="49"/>
        <v>36424412.783304028</v>
      </c>
      <c r="K84" s="47">
        <f>K32/12*2.5+1728013</f>
        <v>41794867.061634436</v>
      </c>
      <c r="L84" s="47">
        <f>L32/12*2.5</f>
        <v>44073539.467797883</v>
      </c>
      <c r="N84" s="182"/>
    </row>
    <row r="85" spans="1:14" x14ac:dyDescent="0.45">
      <c r="A85" s="68" t="s">
        <v>19</v>
      </c>
      <c r="B85" s="47">
        <f>15500+1258527</f>
        <v>1274027</v>
      </c>
      <c r="C85" s="47">
        <v>937017</v>
      </c>
      <c r="D85" s="47">
        <v>946906</v>
      </c>
      <c r="E85" s="47">
        <v>1267817</v>
      </c>
      <c r="F85" s="47">
        <v>1099470</v>
      </c>
      <c r="G85" s="47">
        <v>479465</v>
      </c>
      <c r="H85" s="47">
        <f>914908-20126</f>
        <v>894782</v>
      </c>
      <c r="I85" s="47">
        <v>1837860</v>
      </c>
      <c r="J85" s="47">
        <v>2667859</v>
      </c>
      <c r="K85" s="47">
        <v>2506302</v>
      </c>
      <c r="L85" s="47">
        <v>2506302</v>
      </c>
      <c r="N85" s="182"/>
    </row>
    <row r="86" spans="1:14" x14ac:dyDescent="0.45">
      <c r="A86" s="68" t="s">
        <v>77</v>
      </c>
      <c r="B86" s="47">
        <f>1617909+9724322+905750+39000</f>
        <v>12286981</v>
      </c>
      <c r="C86" s="47">
        <f>B86*0.9</f>
        <v>11058282.9</v>
      </c>
      <c r="D86" s="47">
        <f t="shared" ref="D86:L86" si="50">C86*0.9</f>
        <v>9952454.6100000013</v>
      </c>
      <c r="E86" s="47">
        <f t="shared" si="50"/>
        <v>8957209.1490000021</v>
      </c>
      <c r="F86" s="47">
        <f t="shared" si="50"/>
        <v>8061488.2341000019</v>
      </c>
      <c r="G86" s="47">
        <f t="shared" si="50"/>
        <v>7255339.4106900021</v>
      </c>
      <c r="H86" s="47">
        <f t="shared" si="50"/>
        <v>6529805.4696210017</v>
      </c>
      <c r="I86" s="47">
        <f t="shared" si="50"/>
        <v>5876824.9226589017</v>
      </c>
      <c r="J86" s="47">
        <f t="shared" si="50"/>
        <v>5289142.4303930113</v>
      </c>
      <c r="K86" s="47">
        <f t="shared" si="50"/>
        <v>4760228.1873537106</v>
      </c>
      <c r="L86" s="47">
        <f t="shared" si="50"/>
        <v>4284205.3686183393</v>
      </c>
      <c r="N86" s="182"/>
    </row>
    <row r="87" spans="1:14" x14ac:dyDescent="0.45">
      <c r="A87" s="75" t="s">
        <v>59</v>
      </c>
      <c r="B87" s="73">
        <f>SUM(B83:B86)</f>
        <v>35590172</v>
      </c>
      <c r="C87" s="73">
        <f t="shared" ref="C87:E87" si="51">SUM(C83:C86)</f>
        <v>25473417.44166667</v>
      </c>
      <c r="D87" s="73">
        <f t="shared" si="51"/>
        <v>26810278.835000001</v>
      </c>
      <c r="E87" s="73">
        <f t="shared" si="51"/>
        <v>28338414.672000006</v>
      </c>
      <c r="F87" s="73">
        <f>SUM(F83:F86)</f>
        <v>31269849.835090004</v>
      </c>
      <c r="G87" s="73">
        <f t="shared" ref="G87:K87" si="52">SUM(G83:G86)</f>
        <v>34533137.951828502</v>
      </c>
      <c r="H87" s="73">
        <f t="shared" si="52"/>
        <v>36204938.910284743</v>
      </c>
      <c r="I87" s="73">
        <f t="shared" si="52"/>
        <v>39948678.536202297</v>
      </c>
      <c r="J87" s="73">
        <f t="shared" si="52"/>
        <v>44381414.213697039</v>
      </c>
      <c r="K87" s="73">
        <f t="shared" si="52"/>
        <v>49061397.248988144</v>
      </c>
      <c r="L87" s="73">
        <f t="shared" ref="L87" si="53">SUM(L83:L86)</f>
        <v>50864046.836416222</v>
      </c>
      <c r="N87" s="86"/>
    </row>
    <row r="88" spans="1:14" x14ac:dyDescent="0.45">
      <c r="A88" s="68"/>
      <c r="B88" s="47"/>
      <c r="C88" s="68"/>
      <c r="D88" s="47"/>
      <c r="E88" s="47"/>
      <c r="F88" s="47"/>
      <c r="G88" s="47"/>
      <c r="H88" s="47"/>
      <c r="I88" s="47"/>
      <c r="J88" s="47"/>
      <c r="K88" s="47"/>
      <c r="L88" s="47"/>
      <c r="N88" s="182"/>
    </row>
    <row r="89" spans="1:14" x14ac:dyDescent="0.45">
      <c r="A89" s="75" t="s">
        <v>20</v>
      </c>
      <c r="B89" s="47"/>
      <c r="C89" s="75"/>
      <c r="D89" s="47"/>
      <c r="E89" s="47"/>
      <c r="F89" s="47"/>
      <c r="G89" s="47"/>
      <c r="H89" s="47"/>
      <c r="I89" s="47"/>
      <c r="J89" s="47"/>
      <c r="K89" s="47"/>
      <c r="L89" s="47"/>
      <c r="N89" s="182"/>
    </row>
    <row r="90" spans="1:14" x14ac:dyDescent="0.45">
      <c r="A90" s="68" t="s">
        <v>37</v>
      </c>
      <c r="B90" s="127">
        <v>29664003</v>
      </c>
      <c r="C90" s="127">
        <f>C38/12*2.5</f>
        <v>15908611.19375</v>
      </c>
      <c r="D90" s="127">
        <f t="shared" ref="D90:K90" si="54">D38/12*2.5</f>
        <v>17218249.121700004</v>
      </c>
      <c r="E90" s="127">
        <f t="shared" si="54"/>
        <v>18655566.484005004</v>
      </c>
      <c r="F90" s="127">
        <f t="shared" si="54"/>
        <v>21148429.025728624</v>
      </c>
      <c r="G90" s="127">
        <f t="shared" si="54"/>
        <v>24372549.868670188</v>
      </c>
      <c r="H90" s="127">
        <f t="shared" si="54"/>
        <v>26967189.299901925</v>
      </c>
      <c r="I90" s="127">
        <f t="shared" si="54"/>
        <v>30138784.028663076</v>
      </c>
      <c r="J90" s="127">
        <f t="shared" si="54"/>
        <v>34093250.365172565</v>
      </c>
      <c r="K90" s="127">
        <f t="shared" si="54"/>
        <v>37422441.693566561</v>
      </c>
      <c r="L90" s="127">
        <f>L38/12*2.5-3210891</f>
        <v>37997868.402391024</v>
      </c>
      <c r="N90" s="184"/>
    </row>
    <row r="91" spans="1:14" x14ac:dyDescent="0.45">
      <c r="A91" s="68" t="s">
        <v>114</v>
      </c>
      <c r="B91" s="47">
        <v>0</v>
      </c>
      <c r="C91" s="47">
        <f>C51</f>
        <v>324526.99575484393</v>
      </c>
      <c r="D91" s="47">
        <f>D51*0.1</f>
        <v>23067.174611117942</v>
      </c>
      <c r="E91" s="47">
        <f>E51*0.1</f>
        <v>23984.831578623169</v>
      </c>
      <c r="F91" s="47">
        <f>F51*0.1</f>
        <v>34416.85803663305</v>
      </c>
      <c r="G91" s="47">
        <f t="shared" ref="G91:K91" si="55">G51*0.1</f>
        <v>43153.351936832623</v>
      </c>
      <c r="H91" s="47">
        <f t="shared" si="55"/>
        <v>70289.57843042216</v>
      </c>
      <c r="I91" s="47">
        <f t="shared" si="55"/>
        <v>100486.32471423852</v>
      </c>
      <c r="J91" s="47">
        <f t="shared" si="55"/>
        <v>122517.03291447247</v>
      </c>
      <c r="K91" s="47">
        <f t="shared" si="55"/>
        <v>154766.74938618377</v>
      </c>
      <c r="L91" s="47">
        <f t="shared" ref="L91" si="56">L51*0.1</f>
        <v>169154.3891827825</v>
      </c>
      <c r="N91" s="182"/>
    </row>
    <row r="92" spans="1:14" x14ac:dyDescent="0.45">
      <c r="A92" s="68" t="s">
        <v>200</v>
      </c>
      <c r="B92" s="47">
        <v>911598</v>
      </c>
      <c r="C92" s="47">
        <f>(C32-C36)*12%*1/12</f>
        <v>197061.50639999998</v>
      </c>
      <c r="D92" s="47">
        <f t="shared" ref="D92:E92" si="57">(D32-D36)*12%*1/12</f>
        <v>208392.54301799997</v>
      </c>
      <c r="E92" s="47">
        <f t="shared" si="57"/>
        <v>225063.94645943996</v>
      </c>
      <c r="F92" s="47">
        <f>(F32-F36)*12%*1/12</f>
        <v>248911.14759492964</v>
      </c>
      <c r="G92" s="47">
        <f t="shared" ref="G92:K92" si="58">(G32-G36)*12%*1/12</f>
        <v>286247.81973416911</v>
      </c>
      <c r="H92" s="47">
        <f t="shared" si="58"/>
        <v>321879.45051238331</v>
      </c>
      <c r="I92" s="47">
        <f t="shared" si="58"/>
        <v>360504.98457386927</v>
      </c>
      <c r="J92" s="47">
        <f t="shared" si="58"/>
        <v>407370.6325684723</v>
      </c>
      <c r="K92" s="47">
        <f t="shared" si="58"/>
        <v>448107.69582531956</v>
      </c>
      <c r="L92" s="47">
        <f t="shared" ref="L92" si="59">(L32-L36)*12%*1/12</f>
        <v>492918.46540785133</v>
      </c>
      <c r="N92" s="182"/>
    </row>
    <row r="93" spans="1:14" x14ac:dyDescent="0.45">
      <c r="A93" s="68" t="s">
        <v>201</v>
      </c>
      <c r="B93" s="47">
        <v>24000</v>
      </c>
      <c r="C93" s="47">
        <v>238434.08333333334</v>
      </c>
      <c r="D93" s="47">
        <v>441266.08333333331</v>
      </c>
      <c r="E93" s="47">
        <v>481852.69166666671</v>
      </c>
      <c r="F93" s="47">
        <v>525708</v>
      </c>
      <c r="G93" s="47">
        <v>425701</v>
      </c>
      <c r="H93" s="47">
        <v>498571</v>
      </c>
      <c r="I93" s="47">
        <v>525951</v>
      </c>
      <c r="J93" s="47">
        <v>325751</v>
      </c>
      <c r="K93" s="47">
        <v>390750</v>
      </c>
      <c r="L93" s="47">
        <v>390750</v>
      </c>
      <c r="N93" s="182"/>
    </row>
    <row r="94" spans="1:14" x14ac:dyDescent="0.45">
      <c r="A94" s="75" t="s">
        <v>60</v>
      </c>
      <c r="B94" s="73">
        <f>SUM(B90:B93)</f>
        <v>30599601</v>
      </c>
      <c r="C94" s="73">
        <f>SUM(C90:C93)</f>
        <v>16668633.779238177</v>
      </c>
      <c r="D94" s="73">
        <f t="shared" ref="D94:E94" si="60">SUM(D90:D93)</f>
        <v>17890974.922662452</v>
      </c>
      <c r="E94" s="73">
        <f t="shared" si="60"/>
        <v>19386467.953709733</v>
      </c>
      <c r="F94" s="73">
        <f>SUM(F90:F93)</f>
        <v>21957465.031360187</v>
      </c>
      <c r="G94" s="73">
        <f t="shared" ref="G94:K94" si="61">SUM(G90:G93)</f>
        <v>25127652.040341187</v>
      </c>
      <c r="H94" s="73">
        <f t="shared" si="61"/>
        <v>27857929.32884473</v>
      </c>
      <c r="I94" s="73">
        <f t="shared" si="61"/>
        <v>31125726.337951187</v>
      </c>
      <c r="J94" s="73">
        <f t="shared" si="61"/>
        <v>34948889.030655511</v>
      </c>
      <c r="K94" s="73">
        <f t="shared" si="61"/>
        <v>38416066.138778061</v>
      </c>
      <c r="L94" s="73">
        <f t="shared" ref="L94" si="62">SUM(L90:L93)</f>
        <v>39050691.256981656</v>
      </c>
      <c r="N94" s="86"/>
    </row>
    <row r="95" spans="1:14" x14ac:dyDescent="0.45">
      <c r="A95" s="75"/>
      <c r="B95" s="47"/>
      <c r="C95" s="75"/>
      <c r="D95" s="47"/>
      <c r="E95" s="47"/>
      <c r="F95" s="47"/>
      <c r="G95" s="47"/>
      <c r="H95" s="47"/>
      <c r="I95" s="47"/>
      <c r="J95" s="47"/>
      <c r="K95" s="47"/>
      <c r="L95" s="47"/>
      <c r="N95" s="182"/>
    </row>
    <row r="96" spans="1:14" x14ac:dyDescent="0.45">
      <c r="A96" s="75" t="s">
        <v>99</v>
      </c>
      <c r="B96" s="47">
        <f>B87-B94</f>
        <v>4990571</v>
      </c>
      <c r="C96" s="47">
        <f t="shared" ref="C96:E96" si="63">C87-C94</f>
        <v>8804783.6624284927</v>
      </c>
      <c r="D96" s="47">
        <f t="shared" si="63"/>
        <v>8919303.912337549</v>
      </c>
      <c r="E96" s="47">
        <f t="shared" si="63"/>
        <v>8951946.7182902731</v>
      </c>
      <c r="F96" s="47">
        <f>F87-F94</f>
        <v>9312384.8037298173</v>
      </c>
      <c r="G96" s="47">
        <f t="shared" ref="G96:K96" si="64">G87-G94</f>
        <v>9405485.9114873149</v>
      </c>
      <c r="H96" s="47">
        <f t="shared" si="64"/>
        <v>8347009.5814400129</v>
      </c>
      <c r="I96" s="47">
        <f t="shared" si="64"/>
        <v>8822952.1982511096</v>
      </c>
      <c r="J96" s="47">
        <f t="shared" si="64"/>
        <v>9432525.1830415279</v>
      </c>
      <c r="K96" s="47">
        <f t="shared" si="64"/>
        <v>10645331.110210083</v>
      </c>
      <c r="L96" s="47">
        <f t="shared" ref="L96" si="65">L87-L94</f>
        <v>11813355.579434566</v>
      </c>
      <c r="N96" s="182"/>
    </row>
    <row r="97" spans="1:14" x14ac:dyDescent="0.45">
      <c r="A97" s="68"/>
      <c r="B97" s="68"/>
      <c r="C97" s="68"/>
      <c r="D97" s="47"/>
      <c r="E97" s="47"/>
      <c r="F97" s="47"/>
      <c r="G97" s="47"/>
      <c r="H97" s="47"/>
      <c r="I97" s="47"/>
      <c r="J97" s="47"/>
      <c r="K97" s="47"/>
      <c r="L97" s="47"/>
      <c r="N97" s="182"/>
    </row>
    <row r="98" spans="1:14" x14ac:dyDescent="0.45">
      <c r="A98" s="68"/>
      <c r="B98" s="68"/>
      <c r="C98" s="68"/>
      <c r="D98" s="47"/>
      <c r="E98" s="47"/>
      <c r="F98" s="47"/>
      <c r="G98" s="47"/>
      <c r="H98" s="47"/>
      <c r="I98" s="47"/>
      <c r="J98" s="47"/>
      <c r="K98" s="47"/>
      <c r="L98" s="47"/>
      <c r="N98" s="182"/>
    </row>
    <row r="99" spans="1:14" ht="33.75" thickBot="1" x14ac:dyDescent="0.5">
      <c r="A99" s="81" t="s">
        <v>100</v>
      </c>
      <c r="B99" s="116">
        <f>B78+B80+B96</f>
        <v>5314774.8</v>
      </c>
      <c r="C99" s="116">
        <f t="shared" ref="C99:E99" si="66">C78+C80+C96</f>
        <v>9692591.8924284931</v>
      </c>
      <c r="D99" s="116">
        <f t="shared" si="66"/>
        <v>10142050.907837549</v>
      </c>
      <c r="E99" s="116">
        <f t="shared" si="66"/>
        <v>10523126.039465273</v>
      </c>
      <c r="F99" s="116">
        <f>F78+F80+F96</f>
        <v>11241843.320478568</v>
      </c>
      <c r="G99" s="116">
        <f t="shared" ref="G99:K99" si="67">G78+G80+G96</f>
        <v>11700625.377286252</v>
      </c>
      <c r="H99" s="116">
        <f t="shared" si="67"/>
        <v>11120434.937915985</v>
      </c>
      <c r="I99" s="116">
        <f t="shared" si="67"/>
        <v>11956265.723228343</v>
      </c>
      <c r="J99" s="116">
        <f t="shared" si="67"/>
        <v>12931781.953407917</v>
      </c>
      <c r="K99" s="116">
        <f t="shared" si="67"/>
        <v>14515569.119263947</v>
      </c>
      <c r="L99" s="116">
        <f t="shared" ref="L99" si="68">L78+L80+L96</f>
        <v>15808799.426388737</v>
      </c>
      <c r="N99" s="86"/>
    </row>
    <row r="100" spans="1:14" ht="33.75" thickTop="1" x14ac:dyDescent="0.45">
      <c r="A100" s="85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N100" s="86"/>
    </row>
    <row r="101" spans="1:14" s="112" customFormat="1" hidden="1" x14ac:dyDescent="0.45">
      <c r="A101" s="114"/>
      <c r="B101" s="113">
        <v>-0.17768559232354164</v>
      </c>
      <c r="C101" s="113">
        <v>0.21890604868531227</v>
      </c>
      <c r="D101" s="113">
        <v>0.13823398947715759</v>
      </c>
      <c r="E101" s="113">
        <v>-0.15927828103303909</v>
      </c>
      <c r="F101" s="113">
        <v>-0.43229692056775093</v>
      </c>
      <c r="G101" s="113"/>
      <c r="H101" s="113"/>
      <c r="I101" s="113"/>
      <c r="J101" s="113"/>
      <c r="K101" s="113"/>
      <c r="L101" s="113"/>
      <c r="N101" s="113"/>
    </row>
    <row r="102" spans="1:14" s="112" customFormat="1" x14ac:dyDescent="0.45">
      <c r="A102" s="114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N102" s="113"/>
    </row>
    <row r="103" spans="1:14" s="112" customFormat="1" x14ac:dyDescent="0.45">
      <c r="A103" s="114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N103" s="113"/>
    </row>
    <row r="104" spans="1:14" x14ac:dyDescent="0.45">
      <c r="A104" s="211" t="str">
        <f>A24</f>
        <v>M/S SHREE ENTERPRISES</v>
      </c>
      <c r="B104" s="211"/>
      <c r="C104" s="211"/>
    </row>
    <row r="105" spans="1:14" x14ac:dyDescent="0.45">
      <c r="A105" s="40"/>
      <c r="B105" s="40"/>
      <c r="C105" s="40"/>
      <c r="D105" s="117"/>
      <c r="E105" s="117"/>
      <c r="F105" s="117"/>
      <c r="G105" s="171"/>
      <c r="H105" s="171"/>
      <c r="I105" s="171"/>
      <c r="J105" s="171"/>
      <c r="K105" s="171"/>
      <c r="L105" s="201"/>
      <c r="N105" s="171"/>
    </row>
    <row r="106" spans="1:14" x14ac:dyDescent="0.45">
      <c r="A106" s="210" t="s">
        <v>45</v>
      </c>
      <c r="B106" s="210"/>
      <c r="C106" s="210"/>
    </row>
    <row r="107" spans="1:14" x14ac:dyDescent="0.45">
      <c r="A107" s="58"/>
      <c r="B107" s="58"/>
    </row>
    <row r="108" spans="1:14" x14ac:dyDescent="0.45">
      <c r="A108" s="64" t="s">
        <v>0</v>
      </c>
      <c r="B108" s="125" t="str">
        <f>B29</f>
        <v>31 Mar,26</v>
      </c>
      <c r="C108" s="125" t="str">
        <f t="shared" ref="C108:L108" si="69">C29</f>
        <v>31 Mar,27</v>
      </c>
      <c r="D108" s="125" t="str">
        <f t="shared" si="69"/>
        <v>31 Mar,28</v>
      </c>
      <c r="E108" s="125" t="str">
        <f t="shared" si="69"/>
        <v>31 Mar,29</v>
      </c>
      <c r="F108" s="125" t="str">
        <f t="shared" si="69"/>
        <v>32 Mar,30</v>
      </c>
      <c r="G108" s="125" t="str">
        <f t="shared" si="69"/>
        <v>32 Mar,31</v>
      </c>
      <c r="H108" s="125" t="str">
        <f t="shared" si="69"/>
        <v>33 Mar,32</v>
      </c>
      <c r="I108" s="125" t="str">
        <f t="shared" si="69"/>
        <v>33 Mar,33</v>
      </c>
      <c r="J108" s="125" t="str">
        <f t="shared" si="69"/>
        <v>34 Mar,34</v>
      </c>
      <c r="K108" s="125" t="str">
        <f t="shared" si="69"/>
        <v>34 Mar,35</v>
      </c>
      <c r="L108" s="125" t="str">
        <f t="shared" si="69"/>
        <v>34 Mar,36</v>
      </c>
      <c r="N108" s="181"/>
    </row>
    <row r="109" spans="1:14" x14ac:dyDescent="0.45">
      <c r="A109" s="65"/>
      <c r="B109" s="122" t="str">
        <f>B30</f>
        <v>PROVISIONAL</v>
      </c>
      <c r="C109" s="122" t="str">
        <f t="shared" ref="C109:L109" si="70">C30</f>
        <v>PROJECTED</v>
      </c>
      <c r="D109" s="122" t="str">
        <f t="shared" si="70"/>
        <v>PROJECTED</v>
      </c>
      <c r="E109" s="122" t="str">
        <f t="shared" si="70"/>
        <v>PROJECTED</v>
      </c>
      <c r="F109" s="122" t="str">
        <f t="shared" si="70"/>
        <v>PROJECTED</v>
      </c>
      <c r="G109" s="122" t="str">
        <f t="shared" si="70"/>
        <v>PROJECTED</v>
      </c>
      <c r="H109" s="122" t="str">
        <f t="shared" si="70"/>
        <v>PROJECTED</v>
      </c>
      <c r="I109" s="122" t="str">
        <f t="shared" si="70"/>
        <v>PROJECTED</v>
      </c>
      <c r="J109" s="122" t="str">
        <f t="shared" si="70"/>
        <v>PROJECTED</v>
      </c>
      <c r="K109" s="122" t="str">
        <f t="shared" si="70"/>
        <v>PROJECTED</v>
      </c>
      <c r="L109" s="122" t="str">
        <f t="shared" si="70"/>
        <v>PROJECTED</v>
      </c>
      <c r="N109" s="181"/>
    </row>
    <row r="110" spans="1:14" x14ac:dyDescent="0.45">
      <c r="A110" s="46" t="s">
        <v>101</v>
      </c>
      <c r="B110" s="88">
        <f>B87/B94</f>
        <v>1.1630926821562151</v>
      </c>
      <c r="C110" s="88">
        <f t="shared" ref="C110:K110" si="71">C87/C94</f>
        <v>1.528224675101771</v>
      </c>
      <c r="D110" s="88">
        <f t="shared" si="71"/>
        <v>1.4985364940084673</v>
      </c>
      <c r="E110" s="88">
        <f t="shared" si="71"/>
        <v>1.4617626449369421</v>
      </c>
      <c r="F110" s="88">
        <f t="shared" si="71"/>
        <v>1.4241101962557901</v>
      </c>
      <c r="G110" s="88">
        <f t="shared" si="71"/>
        <v>1.3743081883013692</v>
      </c>
      <c r="H110" s="88">
        <f t="shared" si="71"/>
        <v>1.2996277821983464</v>
      </c>
      <c r="I110" s="88">
        <f t="shared" si="71"/>
        <v>1.2834617288109162</v>
      </c>
      <c r="J110" s="88">
        <f t="shared" si="71"/>
        <v>1.2698948505850289</v>
      </c>
      <c r="K110" s="88">
        <f t="shared" si="71"/>
        <v>1.277106226123045</v>
      </c>
      <c r="L110" s="88">
        <f t="shared" ref="L110" si="72">L87/L94</f>
        <v>1.3025133537763565</v>
      </c>
      <c r="N110" s="100"/>
    </row>
    <row r="111" spans="1:14" x14ac:dyDescent="0.4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N111" s="55"/>
    </row>
    <row r="112" spans="1:14" x14ac:dyDescent="0.45">
      <c r="A112" s="89" t="s">
        <v>38</v>
      </c>
      <c r="B112" s="89"/>
      <c r="C112" s="89"/>
      <c r="D112" s="89"/>
      <c r="E112" s="46"/>
      <c r="F112" s="46"/>
      <c r="G112" s="46"/>
      <c r="H112" s="46"/>
      <c r="I112" s="46"/>
      <c r="J112" s="46"/>
      <c r="K112" s="46"/>
      <c r="L112" s="46"/>
      <c r="N112" s="55"/>
    </row>
    <row r="113" spans="1:14" x14ac:dyDescent="0.4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N113" s="55"/>
    </row>
    <row r="114" spans="1:14" x14ac:dyDescent="0.45">
      <c r="A114" s="46" t="s">
        <v>57</v>
      </c>
      <c r="B114" s="88">
        <f>B167</f>
        <v>3.5414522514783742</v>
      </c>
      <c r="C114" s="88">
        <f t="shared" ref="C114:K114" si="73">C167</f>
        <v>1.9697900025796211</v>
      </c>
      <c r="D114" s="88">
        <f t="shared" si="73"/>
        <v>2.1530899688010638</v>
      </c>
      <c r="E114" s="88">
        <f t="shared" si="73"/>
        <v>2.2695663360753056</v>
      </c>
      <c r="F114" s="88">
        <f t="shared" si="73"/>
        <v>2.4514989147065189</v>
      </c>
      <c r="G114" s="88">
        <f t="shared" si="73"/>
        <v>2.5838939364579323</v>
      </c>
      <c r="H114" s="88">
        <f t="shared" si="73"/>
        <v>2.5</v>
      </c>
      <c r="I114" s="88">
        <f t="shared" si="73"/>
        <v>2.5</v>
      </c>
      <c r="J114" s="88">
        <f t="shared" si="73"/>
        <v>2.5</v>
      </c>
      <c r="K114" s="88">
        <f t="shared" si="73"/>
        <v>2.6078206063634179</v>
      </c>
      <c r="L114" s="88">
        <f t="shared" ref="L114" si="74">L167</f>
        <v>2.5</v>
      </c>
      <c r="N114" s="100"/>
    </row>
    <row r="115" spans="1:14" x14ac:dyDescent="0.4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N115" s="55"/>
    </row>
    <row r="116" spans="1:14" x14ac:dyDescent="0.45">
      <c r="A116" s="46" t="s">
        <v>64</v>
      </c>
      <c r="B116" s="88">
        <f>B177</f>
        <v>0</v>
      </c>
      <c r="C116" s="88">
        <f t="shared" ref="C116:K116" si="75">C177</f>
        <v>0</v>
      </c>
      <c r="D116" s="88">
        <f t="shared" si="75"/>
        <v>0</v>
      </c>
      <c r="E116" s="88">
        <f t="shared" si="75"/>
        <v>0</v>
      </c>
      <c r="F116" s="88">
        <f t="shared" si="75"/>
        <v>0</v>
      </c>
      <c r="G116" s="88">
        <f t="shared" si="75"/>
        <v>0</v>
      </c>
      <c r="H116" s="88">
        <f t="shared" si="75"/>
        <v>0</v>
      </c>
      <c r="I116" s="88">
        <f t="shared" si="75"/>
        <v>0</v>
      </c>
      <c r="J116" s="88">
        <f t="shared" si="75"/>
        <v>0</v>
      </c>
      <c r="K116" s="88">
        <f t="shared" si="75"/>
        <v>0</v>
      </c>
      <c r="L116" s="88">
        <f t="shared" ref="L116" si="76">L177</f>
        <v>0</v>
      </c>
      <c r="N116" s="100"/>
    </row>
    <row r="117" spans="1:14" x14ac:dyDescent="0.4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N117" s="55"/>
    </row>
    <row r="118" spans="1:14" x14ac:dyDescent="0.45">
      <c r="A118" s="46" t="s">
        <v>62</v>
      </c>
      <c r="B118" s="88">
        <f>B157</f>
        <v>6.2069610343957553</v>
      </c>
      <c r="C118" s="88">
        <f t="shared" ref="C118:K118" si="77">C157</f>
        <v>3.0592105263157898</v>
      </c>
      <c r="D118" s="88">
        <f t="shared" si="77"/>
        <v>3.0457516339869284</v>
      </c>
      <c r="E118" s="88">
        <f t="shared" si="77"/>
        <v>3.0555555555555554</v>
      </c>
      <c r="F118" s="88">
        <f t="shared" si="77"/>
        <v>3.0454545454545459</v>
      </c>
      <c r="G118" s="88">
        <f t="shared" si="77"/>
        <v>3.051948051948052</v>
      </c>
      <c r="H118" s="88">
        <f t="shared" si="77"/>
        <v>3.0541069100391129</v>
      </c>
      <c r="I118" s="88">
        <f t="shared" si="77"/>
        <v>3.0475880052151241</v>
      </c>
      <c r="J118" s="88">
        <f t="shared" si="77"/>
        <v>3.0508474576271181</v>
      </c>
      <c r="K118" s="88">
        <f t="shared" si="77"/>
        <v>3.0443285528031288</v>
      </c>
      <c r="L118" s="88">
        <f t="shared" ref="L118" si="78">L157</f>
        <v>2.8101270129512943</v>
      </c>
      <c r="N118" s="100"/>
    </row>
    <row r="119" spans="1:14" x14ac:dyDescent="0.4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N119" s="55"/>
    </row>
    <row r="120" spans="1:14" x14ac:dyDescent="0.45">
      <c r="A120" s="89" t="s">
        <v>39</v>
      </c>
      <c r="B120" s="89"/>
      <c r="C120" s="89"/>
      <c r="D120" s="89"/>
      <c r="E120" s="46"/>
      <c r="F120" s="46"/>
      <c r="G120" s="46"/>
      <c r="H120" s="46"/>
      <c r="I120" s="46"/>
      <c r="J120" s="46"/>
      <c r="K120" s="46"/>
      <c r="L120" s="46"/>
      <c r="N120" s="55"/>
    </row>
    <row r="121" spans="1:14" x14ac:dyDescent="0.4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N121" s="55"/>
    </row>
    <row r="122" spans="1:14" x14ac:dyDescent="0.45">
      <c r="A122" s="46" t="s">
        <v>46</v>
      </c>
      <c r="B122" s="51">
        <f>B32</f>
        <v>74644510</v>
      </c>
      <c r="C122" s="51">
        <f t="shared" ref="C122:K122" si="79">C32</f>
        <v>82108961</v>
      </c>
      <c r="D122" s="51">
        <f t="shared" si="79"/>
        <v>88677677.88000001</v>
      </c>
      <c r="E122" s="51">
        <f t="shared" si="79"/>
        <v>95771892.110400021</v>
      </c>
      <c r="F122" s="51">
        <f t="shared" si="79"/>
        <v>108222238.08475201</v>
      </c>
      <c r="G122" s="51">
        <f t="shared" si="79"/>
        <v>124455573.7974648</v>
      </c>
      <c r="H122" s="51">
        <f t="shared" si="79"/>
        <v>138145686.91518596</v>
      </c>
      <c r="I122" s="51">
        <f t="shared" si="79"/>
        <v>154723169.34500828</v>
      </c>
      <c r="J122" s="51">
        <f t="shared" si="79"/>
        <v>174837181.35985935</v>
      </c>
      <c r="K122" s="51">
        <f t="shared" si="79"/>
        <v>192320899.49584529</v>
      </c>
      <c r="L122" s="51">
        <f t="shared" ref="L122" si="80">L32</f>
        <v>211552989.44542983</v>
      </c>
      <c r="N122" s="170"/>
    </row>
    <row r="123" spans="1:14" x14ac:dyDescent="0.4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N123" s="55"/>
    </row>
    <row r="124" spans="1:14" x14ac:dyDescent="0.45">
      <c r="A124" s="46" t="s">
        <v>40</v>
      </c>
      <c r="B124" s="90" t="s">
        <v>49</v>
      </c>
      <c r="C124" s="91">
        <f>(C122-B122)/B122</f>
        <v>0.1</v>
      </c>
      <c r="D124" s="91">
        <f t="shared" ref="D124:J124" si="81">(D122-C122)/C122</f>
        <v>8.0000000000000127E-2</v>
      </c>
      <c r="E124" s="91">
        <f t="shared" si="81"/>
        <v>8.0000000000000113E-2</v>
      </c>
      <c r="F124" s="91">
        <f t="shared" si="81"/>
        <v>0.12999999999999984</v>
      </c>
      <c r="G124" s="91">
        <f t="shared" si="81"/>
        <v>0.14999999999999994</v>
      </c>
      <c r="H124" s="91">
        <f t="shared" si="81"/>
        <v>0.11000000000000022</v>
      </c>
      <c r="I124" s="91">
        <f t="shared" si="81"/>
        <v>0.12000000000000008</v>
      </c>
      <c r="J124" s="91">
        <f t="shared" si="81"/>
        <v>0.12999999999999992</v>
      </c>
      <c r="K124" s="91">
        <f>(K122-J122)/J122</f>
        <v>0.10000000000000003</v>
      </c>
      <c r="L124" s="91">
        <f>(L122-K122)/K122</f>
        <v>0.10000000000000007</v>
      </c>
      <c r="N124" s="186"/>
    </row>
    <row r="125" spans="1:14" x14ac:dyDescent="0.4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N125" s="55"/>
    </row>
    <row r="126" spans="1:14" x14ac:dyDescent="0.45">
      <c r="A126" s="46" t="s">
        <v>41</v>
      </c>
      <c r="B126" s="88">
        <f>B40/B32*100</f>
        <v>6.4694067922744747</v>
      </c>
      <c r="C126" s="88">
        <f t="shared" ref="C126:E126" si="82">C40/C32*100</f>
        <v>6.9999999999999947</v>
      </c>
      <c r="D126" s="88">
        <f t="shared" si="82"/>
        <v>6.7999999999999909</v>
      </c>
      <c r="E126" s="88">
        <f t="shared" si="82"/>
        <v>6.5</v>
      </c>
      <c r="F126" s="88">
        <f>F40/F32*100</f>
        <v>6.1999999999999993</v>
      </c>
      <c r="G126" s="88">
        <f t="shared" ref="G126:K126" si="83">G40/G32*100</f>
        <v>6.0000000000000036</v>
      </c>
      <c r="H126" s="88">
        <f t="shared" si="83"/>
        <v>6.3</v>
      </c>
      <c r="I126" s="88">
        <f t="shared" si="83"/>
        <v>6.4999999999999867</v>
      </c>
      <c r="J126" s="88">
        <f t="shared" si="83"/>
        <v>6.400000000000011</v>
      </c>
      <c r="K126" s="88">
        <f t="shared" si="83"/>
        <v>6.6000000000000076</v>
      </c>
      <c r="L126" s="88">
        <f t="shared" ref="L126" si="84">L40/L32*100</f>
        <v>6.499999999999992</v>
      </c>
      <c r="N126" s="100"/>
    </row>
    <row r="127" spans="1:14" x14ac:dyDescent="0.45">
      <c r="A127" s="46"/>
      <c r="B127" s="46"/>
      <c r="C127" s="46"/>
      <c r="D127" s="46"/>
      <c r="E127" s="92"/>
      <c r="F127" s="92"/>
      <c r="G127" s="92"/>
      <c r="H127" s="92"/>
      <c r="I127" s="92"/>
      <c r="J127" s="92"/>
      <c r="K127" s="92"/>
      <c r="L127" s="92"/>
      <c r="N127" s="187"/>
    </row>
    <row r="128" spans="1:14" x14ac:dyDescent="0.45">
      <c r="A128" s="46" t="s">
        <v>42</v>
      </c>
      <c r="B128" s="93">
        <f>B52/B32</f>
        <v>2.4878234876215276E-2</v>
      </c>
      <c r="C128" s="93">
        <f t="shared" ref="C128:K128" si="85">C52/C32</f>
        <v>2.5766050451722651E-2</v>
      </c>
      <c r="D128" s="93">
        <f t="shared" si="85"/>
        <v>2.3479744623013849E-2</v>
      </c>
      <c r="E128" s="93">
        <f t="shared" si="85"/>
        <v>2.1276160646488455E-2</v>
      </c>
      <c r="F128" s="93">
        <f t="shared" si="85"/>
        <v>1.9949096249460327E-2</v>
      </c>
      <c r="G128" s="93">
        <f t="shared" si="85"/>
        <v>1.8894989298303626E-2</v>
      </c>
      <c r="H128" s="93">
        <f t="shared" si="85"/>
        <v>2.135408918735246E-2</v>
      </c>
      <c r="I128" s="93">
        <f t="shared" si="85"/>
        <v>2.3369817874578352E-2</v>
      </c>
      <c r="J128" s="93">
        <f t="shared" si="85"/>
        <v>2.3459870589202559E-2</v>
      </c>
      <c r="K128" s="93">
        <f t="shared" si="85"/>
        <v>2.5024868620577519E-2</v>
      </c>
      <c r="L128" s="93">
        <f t="shared" ref="L128" si="86">L52/L32</f>
        <v>2.4249580020258583E-2</v>
      </c>
      <c r="N128" s="188"/>
    </row>
    <row r="129" spans="1:14" x14ac:dyDescent="0.4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N129" s="55"/>
    </row>
    <row r="130" spans="1:14" x14ac:dyDescent="0.45">
      <c r="A130" s="46" t="s">
        <v>65</v>
      </c>
      <c r="B130" s="51">
        <f>B50</f>
        <v>2087869.8</v>
      </c>
      <c r="C130" s="51">
        <f t="shared" ref="C130:K130" si="87">C50</f>
        <v>2440150.6274193716</v>
      </c>
      <c r="D130" s="51">
        <f t="shared" si="87"/>
        <v>2312800.9764954639</v>
      </c>
      <c r="E130" s="51">
        <f t="shared" si="87"/>
        <v>2277506.4777452629</v>
      </c>
      <c r="F130" s="51">
        <f t="shared" si="87"/>
        <v>2503104.4242510591</v>
      </c>
      <c r="G130" s="51">
        <f t="shared" si="87"/>
        <v>2783120.2543856609</v>
      </c>
      <c r="H130" s="51">
        <f t="shared" si="87"/>
        <v>3652871.1035391721</v>
      </c>
      <c r="I130" s="51">
        <f t="shared" si="87"/>
        <v>4620715.535712773</v>
      </c>
      <c r="J130" s="51">
        <f t="shared" si="87"/>
        <v>5326827.9780279631</v>
      </c>
      <c r="K130" s="51">
        <f t="shared" si="87"/>
        <v>6360472.736736659</v>
      </c>
      <c r="L130" s="51">
        <f t="shared" ref="L130" si="88">L50</f>
        <v>6821615.0379096949</v>
      </c>
      <c r="N130" s="170"/>
    </row>
    <row r="131" spans="1:14" x14ac:dyDescent="0.45">
      <c r="A131" s="46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N131" s="170"/>
    </row>
    <row r="132" spans="1:14" x14ac:dyDescent="0.45">
      <c r="A132" s="46" t="s">
        <v>34</v>
      </c>
      <c r="B132" s="51">
        <f>B49</f>
        <v>32524.199999999997</v>
      </c>
      <c r="C132" s="51">
        <f t="shared" ref="C132:K132" si="89">C49</f>
        <v>51395.569999999992</v>
      </c>
      <c r="D132" s="51">
        <f t="shared" si="89"/>
        <v>65061.234499999999</v>
      </c>
      <c r="E132" s="51">
        <f t="shared" si="89"/>
        <v>51567.674325</v>
      </c>
      <c r="F132" s="51">
        <f t="shared" si="89"/>
        <v>41720.804426249997</v>
      </c>
      <c r="G132" s="51">
        <f t="shared" si="89"/>
        <v>34319.050949812503</v>
      </c>
      <c r="H132" s="51">
        <f t="shared" si="89"/>
        <v>47464.109322965618</v>
      </c>
      <c r="I132" s="51">
        <f t="shared" si="89"/>
        <v>40111.831498739528</v>
      </c>
      <c r="J132" s="51">
        <f t="shared" si="89"/>
        <v>34056.754610842661</v>
      </c>
      <c r="K132" s="51">
        <f t="shared" si="89"/>
        <v>29018.761312526807</v>
      </c>
      <c r="L132" s="51">
        <f t="shared" ref="L132" si="90">L49</f>
        <v>24794.1620996932</v>
      </c>
      <c r="N132" s="170"/>
    </row>
    <row r="133" spans="1:14" x14ac:dyDescent="0.45">
      <c r="A133" s="46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N133" s="170"/>
    </row>
    <row r="134" spans="1:14" x14ac:dyDescent="0.45">
      <c r="A134" s="46" t="s">
        <v>43</v>
      </c>
      <c r="B134" s="51">
        <f>SUM(B130:B132)</f>
        <v>2120394</v>
      </c>
      <c r="C134" s="51">
        <f t="shared" ref="C134:K134" si="91">SUM(C130:C132)</f>
        <v>2491546.1974193715</v>
      </c>
      <c r="D134" s="51">
        <f t="shared" si="91"/>
        <v>2377862.2109954637</v>
      </c>
      <c r="E134" s="51">
        <f t="shared" si="91"/>
        <v>2329074.1520702629</v>
      </c>
      <c r="F134" s="51">
        <f t="shared" si="91"/>
        <v>2544825.2286773091</v>
      </c>
      <c r="G134" s="51">
        <f t="shared" si="91"/>
        <v>2817439.3053354733</v>
      </c>
      <c r="H134" s="51">
        <f t="shared" si="91"/>
        <v>3700335.2128621377</v>
      </c>
      <c r="I134" s="51">
        <f t="shared" si="91"/>
        <v>4660827.3672115123</v>
      </c>
      <c r="J134" s="51">
        <f t="shared" si="91"/>
        <v>5360884.7326388061</v>
      </c>
      <c r="K134" s="51">
        <f t="shared" si="91"/>
        <v>6389491.4980491856</v>
      </c>
      <c r="L134" s="51">
        <f t="shared" ref="L134" si="92">SUM(L130:L132)</f>
        <v>6846409.2000093879</v>
      </c>
      <c r="N134" s="170"/>
    </row>
    <row r="135" spans="1:14" x14ac:dyDescent="0.45">
      <c r="A135" s="46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N135" s="170"/>
    </row>
    <row r="136" spans="1:14" x14ac:dyDescent="0.45">
      <c r="A136" s="46" t="s">
        <v>160</v>
      </c>
      <c r="B136" s="51">
        <f>B47</f>
        <v>295608</v>
      </c>
      <c r="C136" s="51">
        <f t="shared" ref="C136:K136" si="93">C47</f>
        <v>485423.67258062516</v>
      </c>
      <c r="D136" s="51">
        <f t="shared" si="93"/>
        <v>611762.23334452859</v>
      </c>
      <c r="E136" s="51">
        <f t="shared" si="93"/>
        <v>559424.30689073808</v>
      </c>
      <c r="F136" s="51">
        <f t="shared" si="93"/>
        <v>503048.10105556389</v>
      </c>
      <c r="G136" s="51">
        <f t="shared" si="93"/>
        <v>376395.81411596923</v>
      </c>
      <c r="H136" s="51">
        <f t="shared" si="93"/>
        <v>311792.78886860819</v>
      </c>
      <c r="I136" s="51">
        <f t="shared" si="93"/>
        <v>246584.93541621685</v>
      </c>
      <c r="J136" s="51">
        <f t="shared" si="93"/>
        <v>175526.08753165384</v>
      </c>
      <c r="K136" s="51">
        <f t="shared" si="93"/>
        <v>97474.011797151878</v>
      </c>
      <c r="L136" s="51">
        <f t="shared" ref="L136" si="94">L47</f>
        <v>90929.176797151871</v>
      </c>
      <c r="N136" s="170"/>
    </row>
    <row r="137" spans="1:14" x14ac:dyDescent="0.45">
      <c r="A137" s="46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N137" s="170"/>
    </row>
    <row r="138" spans="1:14" x14ac:dyDescent="0.45">
      <c r="A138" s="46" t="s">
        <v>63</v>
      </c>
      <c r="B138" s="51">
        <f>B50+B47</f>
        <v>2383477.7999999998</v>
      </c>
      <c r="C138" s="51">
        <f t="shared" ref="C138:K138" si="95">C50+C47</f>
        <v>2925574.299999997</v>
      </c>
      <c r="D138" s="51">
        <f t="shared" si="95"/>
        <v>2924563.2098399922</v>
      </c>
      <c r="E138" s="51">
        <f t="shared" si="95"/>
        <v>2836930.7846360011</v>
      </c>
      <c r="F138" s="51">
        <f t="shared" si="95"/>
        <v>3006152.525306623</v>
      </c>
      <c r="G138" s="51">
        <f t="shared" si="95"/>
        <v>3159516.0685016299</v>
      </c>
      <c r="H138" s="51">
        <f t="shared" si="95"/>
        <v>3964663.8924077805</v>
      </c>
      <c r="I138" s="51">
        <f t="shared" si="95"/>
        <v>4867300.4711289899</v>
      </c>
      <c r="J138" s="51">
        <f t="shared" si="95"/>
        <v>5502354.0655596172</v>
      </c>
      <c r="K138" s="51">
        <f t="shared" si="95"/>
        <v>6457946.7485338105</v>
      </c>
      <c r="L138" s="51">
        <f t="shared" ref="L138" si="96">L50+L47</f>
        <v>6912544.2147068465</v>
      </c>
      <c r="N138" s="170"/>
    </row>
    <row r="139" spans="1:14" x14ac:dyDescent="0.4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N139" s="55"/>
    </row>
    <row r="140" spans="1:14" x14ac:dyDescent="0.45">
      <c r="A140" s="94" t="s">
        <v>61</v>
      </c>
      <c r="B140" s="95">
        <f>'SCH 2 cap'!B17</f>
        <v>1991424.6519999998</v>
      </c>
      <c r="C140" s="95">
        <f>'SCH 2 cap'!C17</f>
        <v>3049236.4678322636</v>
      </c>
      <c r="D140" s="95">
        <f>'SCH 2 cap'!D17</f>
        <v>4090301.0830244059</v>
      </c>
      <c r="E140" s="95">
        <f>'SCH 2 cap'!E17</f>
        <v>5109130.1640039207</v>
      </c>
      <c r="F140" s="95">
        <f>'SCH 2 cap'!F17</f>
        <v>6188598.0859462852</v>
      </c>
      <c r="G140" s="95">
        <f>'SCH 2 cap'!G17</f>
        <v>7364391.4534549518</v>
      </c>
      <c r="H140" s="95">
        <f>'SCH 2 cap'!H17</f>
        <v>8544381.5811489318</v>
      </c>
      <c r="I140" s="95">
        <f>'SCH 2 cap'!I17</f>
        <v>9990722.4965770859</v>
      </c>
      <c r="J140" s="95">
        <f>'SCH 2 cap'!J17</f>
        <v>11631385.556130381</v>
      </c>
      <c r="K140" s="95">
        <f>'SCH 2 cap'!K17</f>
        <v>13556507.65328031</v>
      </c>
      <c r="L140" s="95">
        <f>'SCH 2 cap'!M17</f>
        <v>0</v>
      </c>
      <c r="N140" s="189"/>
    </row>
    <row r="141" spans="1:14" x14ac:dyDescent="0.45">
      <c r="A141" s="94" t="s">
        <v>44</v>
      </c>
      <c r="B141" s="95"/>
      <c r="C141" s="95"/>
      <c r="D141" s="95"/>
      <c r="E141" s="51"/>
      <c r="F141" s="51"/>
      <c r="G141" s="51"/>
      <c r="H141" s="51"/>
      <c r="I141" s="51"/>
      <c r="J141" s="51"/>
      <c r="K141" s="51"/>
      <c r="L141" s="51"/>
      <c r="N141" s="170"/>
    </row>
    <row r="142" spans="1:14" x14ac:dyDescent="0.45">
      <c r="A142" s="46" t="s">
        <v>35</v>
      </c>
      <c r="B142" s="51">
        <f>B140</f>
        <v>1991424.6519999998</v>
      </c>
      <c r="C142" s="51">
        <f t="shared" ref="C142:K142" si="97">C140</f>
        <v>3049236.4678322636</v>
      </c>
      <c r="D142" s="51">
        <f t="shared" si="97"/>
        <v>4090301.0830244059</v>
      </c>
      <c r="E142" s="51">
        <f t="shared" si="97"/>
        <v>5109130.1640039207</v>
      </c>
      <c r="F142" s="51">
        <f t="shared" si="97"/>
        <v>6188598.0859462852</v>
      </c>
      <c r="G142" s="51">
        <f t="shared" si="97"/>
        <v>7364391.4534549518</v>
      </c>
      <c r="H142" s="51">
        <f t="shared" si="97"/>
        <v>8544381.5811489318</v>
      </c>
      <c r="I142" s="51">
        <f t="shared" si="97"/>
        <v>9990722.4965770859</v>
      </c>
      <c r="J142" s="51">
        <f t="shared" si="97"/>
        <v>11631385.556130381</v>
      </c>
      <c r="K142" s="51">
        <f t="shared" si="97"/>
        <v>13556507.65328031</v>
      </c>
      <c r="L142" s="51">
        <f t="shared" ref="L142" si="98">L140</f>
        <v>0</v>
      </c>
      <c r="N142" s="170"/>
    </row>
    <row r="143" spans="1:14" x14ac:dyDescent="0.45">
      <c r="A143" s="46"/>
      <c r="B143" s="46"/>
      <c r="C143" s="46"/>
      <c r="D143" s="51"/>
      <c r="E143" s="51"/>
      <c r="F143" s="51"/>
      <c r="G143" s="51"/>
      <c r="H143" s="51"/>
      <c r="I143" s="51"/>
      <c r="J143" s="51"/>
      <c r="K143" s="51"/>
      <c r="L143" s="51"/>
      <c r="N143" s="170"/>
    </row>
    <row r="144" spans="1:14" x14ac:dyDescent="0.4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N144" s="55"/>
    </row>
    <row r="146" spans="1:14" x14ac:dyDescent="0.45">
      <c r="A146" s="211" t="str">
        <f>A24</f>
        <v>M/S SHREE ENTERPRISES</v>
      </c>
      <c r="B146" s="211"/>
      <c r="C146" s="211"/>
    </row>
    <row r="147" spans="1:14" x14ac:dyDescent="0.45">
      <c r="A147" s="40"/>
      <c r="B147" s="40"/>
      <c r="C147" s="40"/>
      <c r="D147" s="117"/>
      <c r="E147" s="117"/>
      <c r="F147" s="117"/>
      <c r="G147" s="171"/>
      <c r="H147" s="171"/>
      <c r="I147" s="171"/>
      <c r="J147" s="171"/>
      <c r="K147" s="171"/>
      <c r="L147" s="201"/>
      <c r="N147" s="171"/>
    </row>
    <row r="149" spans="1:14" x14ac:dyDescent="0.45">
      <c r="A149" s="213" t="s">
        <v>22</v>
      </c>
      <c r="B149" s="213"/>
      <c r="C149" s="213"/>
    </row>
    <row r="150" spans="1:14" x14ac:dyDescent="0.45">
      <c r="A150" s="62"/>
      <c r="B150" s="62"/>
      <c r="C150" s="62"/>
      <c r="D150" s="118"/>
      <c r="E150" s="118"/>
      <c r="F150" s="118"/>
      <c r="G150" s="172"/>
      <c r="H150" s="172"/>
      <c r="I150" s="172"/>
      <c r="J150" s="172"/>
      <c r="K150" s="172"/>
      <c r="L150" s="202"/>
      <c r="N150" s="172"/>
    </row>
    <row r="151" spans="1:14" x14ac:dyDescent="0.45">
      <c r="A151" s="64" t="s">
        <v>0</v>
      </c>
      <c r="B151" s="125" t="str">
        <f>B108</f>
        <v>31 Mar,26</v>
      </c>
      <c r="C151" s="125" t="str">
        <f t="shared" ref="C151:L151" si="99">C108</f>
        <v>31 Mar,27</v>
      </c>
      <c r="D151" s="125" t="str">
        <f t="shared" si="99"/>
        <v>31 Mar,28</v>
      </c>
      <c r="E151" s="125" t="str">
        <f t="shared" si="99"/>
        <v>31 Mar,29</v>
      </c>
      <c r="F151" s="125" t="str">
        <f t="shared" si="99"/>
        <v>32 Mar,30</v>
      </c>
      <c r="G151" s="125" t="str">
        <f t="shared" si="99"/>
        <v>32 Mar,31</v>
      </c>
      <c r="H151" s="125" t="str">
        <f t="shared" si="99"/>
        <v>33 Mar,32</v>
      </c>
      <c r="I151" s="125" t="str">
        <f t="shared" si="99"/>
        <v>33 Mar,33</v>
      </c>
      <c r="J151" s="125" t="str">
        <f t="shared" si="99"/>
        <v>34 Mar,34</v>
      </c>
      <c r="K151" s="125" t="str">
        <f t="shared" si="99"/>
        <v>34 Mar,35</v>
      </c>
      <c r="L151" s="125" t="str">
        <f t="shared" si="99"/>
        <v>34 Mar,36</v>
      </c>
      <c r="N151" s="181"/>
    </row>
    <row r="152" spans="1:14" x14ac:dyDescent="0.45">
      <c r="A152" s="65"/>
      <c r="B152" s="122" t="str">
        <f>B109</f>
        <v>PROVISIONAL</v>
      </c>
      <c r="C152" s="122" t="str">
        <f t="shared" ref="C152:E152" si="100">C109</f>
        <v>PROJECTED</v>
      </c>
      <c r="D152" s="122" t="str">
        <f t="shared" si="100"/>
        <v>PROJECTED</v>
      </c>
      <c r="E152" s="122" t="str">
        <f t="shared" si="100"/>
        <v>PROJECTED</v>
      </c>
      <c r="F152" s="122" t="str">
        <f>F109</f>
        <v>PROJECTED</v>
      </c>
      <c r="G152" s="122" t="str">
        <f t="shared" ref="G152:K152" si="101">G109</f>
        <v>PROJECTED</v>
      </c>
      <c r="H152" s="122" t="str">
        <f t="shared" si="101"/>
        <v>PROJECTED</v>
      </c>
      <c r="I152" s="122" t="str">
        <f t="shared" si="101"/>
        <v>PROJECTED</v>
      </c>
      <c r="J152" s="122" t="str">
        <f t="shared" si="101"/>
        <v>PROJECTED</v>
      </c>
      <c r="K152" s="122" t="str">
        <f t="shared" si="101"/>
        <v>PROJECTED</v>
      </c>
      <c r="L152" s="122" t="str">
        <f t="shared" ref="L152" si="102">L109</f>
        <v>PROJECTED</v>
      </c>
      <c r="N152" s="181"/>
    </row>
    <row r="153" spans="1:14" x14ac:dyDescent="0.45">
      <c r="A153" s="66"/>
      <c r="B153" s="44"/>
      <c r="C153" s="64"/>
      <c r="D153" s="64"/>
      <c r="E153" s="96"/>
      <c r="F153" s="96"/>
      <c r="G153" s="96"/>
      <c r="H153" s="96"/>
      <c r="I153" s="96"/>
      <c r="J153" s="96"/>
      <c r="K153" s="96"/>
      <c r="L153" s="96"/>
      <c r="N153" s="49"/>
    </row>
    <row r="154" spans="1:14" x14ac:dyDescent="0.45">
      <c r="A154" s="68" t="s">
        <v>23</v>
      </c>
      <c r="B154" s="51">
        <f t="shared" ref="B154:E154" si="103">B36</f>
        <v>57349810</v>
      </c>
      <c r="C154" s="51">
        <f t="shared" si="103"/>
        <v>62402810.359999999</v>
      </c>
      <c r="D154" s="51">
        <f t="shared" si="103"/>
        <v>67838423.578200012</v>
      </c>
      <c r="E154" s="51">
        <f t="shared" si="103"/>
        <v>73265497.464456022</v>
      </c>
      <c r="F154" s="51">
        <f>F36</f>
        <v>83331123.325259045</v>
      </c>
      <c r="G154" s="51">
        <f t="shared" ref="G154:K154" si="104">G36</f>
        <v>95830791.824047893</v>
      </c>
      <c r="H154" s="51">
        <f t="shared" si="104"/>
        <v>105957741.86394763</v>
      </c>
      <c r="I154" s="51">
        <f t="shared" si="104"/>
        <v>118672670.88762136</v>
      </c>
      <c r="J154" s="51">
        <f t="shared" si="104"/>
        <v>134100118.10301211</v>
      </c>
      <c r="K154" s="51">
        <f t="shared" si="104"/>
        <v>147510129.91331333</v>
      </c>
      <c r="L154" s="51">
        <f t="shared" ref="L154" si="105">L36</f>
        <v>162261142.9046447</v>
      </c>
      <c r="N154" s="170"/>
    </row>
    <row r="155" spans="1:14" x14ac:dyDescent="0.45">
      <c r="A155" s="68" t="s">
        <v>24</v>
      </c>
      <c r="B155" s="126">
        <f>B154/12</f>
        <v>4779150.833333333</v>
      </c>
      <c r="C155" s="126">
        <f t="shared" ref="C155:E155" si="106">C154/12</f>
        <v>5200234.1966666663</v>
      </c>
      <c r="D155" s="126">
        <f t="shared" si="106"/>
        <v>5653201.964850001</v>
      </c>
      <c r="E155" s="126">
        <f t="shared" si="106"/>
        <v>6105458.1220380021</v>
      </c>
      <c r="F155" s="126">
        <f>F154/12</f>
        <v>6944260.2771049207</v>
      </c>
      <c r="G155" s="126">
        <f t="shared" ref="G155:K155" si="107">G154/12</f>
        <v>7985899.3186706575</v>
      </c>
      <c r="H155" s="126">
        <f t="shared" si="107"/>
        <v>8829811.8219956364</v>
      </c>
      <c r="I155" s="126">
        <f t="shared" si="107"/>
        <v>9889389.2406351138</v>
      </c>
      <c r="J155" s="126">
        <f t="shared" si="107"/>
        <v>11175009.841917677</v>
      </c>
      <c r="K155" s="126">
        <f t="shared" si="107"/>
        <v>12292510.826109445</v>
      </c>
      <c r="L155" s="126">
        <f t="shared" ref="L155" si="108">L154/12</f>
        <v>13521761.908720391</v>
      </c>
      <c r="N155" s="190"/>
    </row>
    <row r="156" spans="1:14" x14ac:dyDescent="0.45">
      <c r="A156" s="68" t="s">
        <v>25</v>
      </c>
      <c r="B156" s="51">
        <f>B90</f>
        <v>29664003</v>
      </c>
      <c r="C156" s="51">
        <f t="shared" ref="C156:E156" si="109">C90</f>
        <v>15908611.19375</v>
      </c>
      <c r="D156" s="51">
        <f t="shared" si="109"/>
        <v>17218249.121700004</v>
      </c>
      <c r="E156" s="51">
        <f t="shared" si="109"/>
        <v>18655566.484005004</v>
      </c>
      <c r="F156" s="51">
        <f>F90</f>
        <v>21148429.025728624</v>
      </c>
      <c r="G156" s="51">
        <f t="shared" ref="G156:K156" si="110">G90</f>
        <v>24372549.868670188</v>
      </c>
      <c r="H156" s="51">
        <f t="shared" si="110"/>
        <v>26967189.299901925</v>
      </c>
      <c r="I156" s="51">
        <f t="shared" si="110"/>
        <v>30138784.028663076</v>
      </c>
      <c r="J156" s="51">
        <f t="shared" si="110"/>
        <v>34093250.365172565</v>
      </c>
      <c r="K156" s="51">
        <f t="shared" si="110"/>
        <v>37422441.693566561</v>
      </c>
      <c r="L156" s="51">
        <f t="shared" ref="L156" si="111">L90</f>
        <v>37997868.402391024</v>
      </c>
      <c r="N156" s="170"/>
    </row>
    <row r="157" spans="1:14" x14ac:dyDescent="0.45">
      <c r="A157" s="98" t="s">
        <v>26</v>
      </c>
      <c r="B157" s="99">
        <f>B156/B155</f>
        <v>6.2069610343957553</v>
      </c>
      <c r="C157" s="99">
        <f t="shared" ref="C157:E157" si="112">C156/C155</f>
        <v>3.0592105263157898</v>
      </c>
      <c r="D157" s="99">
        <f t="shared" si="112"/>
        <v>3.0457516339869284</v>
      </c>
      <c r="E157" s="99">
        <f t="shared" si="112"/>
        <v>3.0555555555555554</v>
      </c>
      <c r="F157" s="99">
        <f>F156/F155</f>
        <v>3.0454545454545459</v>
      </c>
      <c r="G157" s="99">
        <f t="shared" ref="G157:K157" si="113">G156/G155</f>
        <v>3.051948051948052</v>
      </c>
      <c r="H157" s="99">
        <f t="shared" si="113"/>
        <v>3.0541069100391129</v>
      </c>
      <c r="I157" s="99">
        <f t="shared" si="113"/>
        <v>3.0475880052151241</v>
      </c>
      <c r="J157" s="99">
        <f t="shared" si="113"/>
        <v>3.0508474576271181</v>
      </c>
      <c r="K157" s="99">
        <f t="shared" si="113"/>
        <v>3.0443285528031288</v>
      </c>
      <c r="L157" s="99">
        <f t="shared" ref="L157" si="114">L156/L155</f>
        <v>2.8101270129512943</v>
      </c>
      <c r="N157" s="100"/>
    </row>
    <row r="159" spans="1:14" x14ac:dyDescent="0.45">
      <c r="A159" s="213" t="s">
        <v>27</v>
      </c>
      <c r="B159" s="213"/>
      <c r="C159" s="213"/>
    </row>
    <row r="160" spans="1:14" x14ac:dyDescent="0.45">
      <c r="A160" s="62"/>
      <c r="B160" s="62"/>
      <c r="C160" s="62"/>
      <c r="D160" s="118"/>
      <c r="E160" s="118"/>
      <c r="F160" s="118"/>
      <c r="G160" s="172"/>
      <c r="H160" s="172"/>
      <c r="I160" s="172"/>
      <c r="J160" s="172"/>
      <c r="K160" s="172"/>
      <c r="L160" s="202"/>
      <c r="N160" s="172"/>
    </row>
    <row r="161" spans="1:14" x14ac:dyDescent="0.45">
      <c r="A161" s="64" t="s">
        <v>0</v>
      </c>
      <c r="B161" s="125" t="str">
        <f>B151</f>
        <v>31 Mar,26</v>
      </c>
      <c r="C161" s="125" t="str">
        <f t="shared" ref="C161:L161" si="115">C151</f>
        <v>31 Mar,27</v>
      </c>
      <c r="D161" s="125" t="str">
        <f t="shared" si="115"/>
        <v>31 Mar,28</v>
      </c>
      <c r="E161" s="125" t="str">
        <f t="shared" si="115"/>
        <v>31 Mar,29</v>
      </c>
      <c r="F161" s="125" t="str">
        <f t="shared" si="115"/>
        <v>32 Mar,30</v>
      </c>
      <c r="G161" s="125" t="str">
        <f t="shared" si="115"/>
        <v>32 Mar,31</v>
      </c>
      <c r="H161" s="125" t="str">
        <f t="shared" si="115"/>
        <v>33 Mar,32</v>
      </c>
      <c r="I161" s="125" t="str">
        <f t="shared" si="115"/>
        <v>33 Mar,33</v>
      </c>
      <c r="J161" s="125" t="str">
        <f t="shared" si="115"/>
        <v>34 Mar,34</v>
      </c>
      <c r="K161" s="125" t="str">
        <f t="shared" si="115"/>
        <v>34 Mar,35</v>
      </c>
      <c r="L161" s="125" t="str">
        <f t="shared" si="115"/>
        <v>34 Mar,36</v>
      </c>
      <c r="N161" s="181"/>
    </row>
    <row r="162" spans="1:14" x14ac:dyDescent="0.45">
      <c r="A162" s="65"/>
      <c r="B162" s="122" t="str">
        <f>B152</f>
        <v>PROVISIONAL</v>
      </c>
      <c r="C162" s="122" t="str">
        <f t="shared" ref="C162:E162" si="116">C152</f>
        <v>PROJECTED</v>
      </c>
      <c r="D162" s="122" t="str">
        <f t="shared" si="116"/>
        <v>PROJECTED</v>
      </c>
      <c r="E162" s="122" t="str">
        <f t="shared" si="116"/>
        <v>PROJECTED</v>
      </c>
      <c r="F162" s="122" t="str">
        <f>F152</f>
        <v>PROJECTED</v>
      </c>
      <c r="G162" s="122" t="str">
        <f>G152</f>
        <v>PROJECTED</v>
      </c>
      <c r="H162" s="122" t="str">
        <f t="shared" ref="H162:K162" si="117">H152</f>
        <v>PROJECTED</v>
      </c>
      <c r="I162" s="122" t="str">
        <f t="shared" si="117"/>
        <v>PROJECTED</v>
      </c>
      <c r="J162" s="122" t="str">
        <f t="shared" si="117"/>
        <v>PROJECTED</v>
      </c>
      <c r="K162" s="122" t="str">
        <f t="shared" si="117"/>
        <v>PROJECTED</v>
      </c>
      <c r="L162" s="122" t="str">
        <f t="shared" ref="L162" si="118">L152</f>
        <v>PROJECTED</v>
      </c>
      <c r="N162" s="181"/>
    </row>
    <row r="163" spans="1:14" x14ac:dyDescent="0.45">
      <c r="A163" s="66"/>
      <c r="B163" s="64"/>
      <c r="C163" s="64"/>
      <c r="D163" s="49"/>
      <c r="E163" s="96"/>
      <c r="F163" s="96"/>
      <c r="G163" s="96"/>
      <c r="H163" s="96"/>
      <c r="I163" s="96"/>
      <c r="J163" s="96"/>
      <c r="K163" s="96"/>
      <c r="L163" s="96"/>
      <c r="N163" s="49"/>
    </row>
    <row r="164" spans="1:14" x14ac:dyDescent="0.45">
      <c r="A164" s="68" t="s">
        <v>68</v>
      </c>
      <c r="B164" s="51">
        <f>B32</f>
        <v>74644510</v>
      </c>
      <c r="C164" s="51">
        <f t="shared" ref="C164:K164" si="119">C32</f>
        <v>82108961</v>
      </c>
      <c r="D164" s="51">
        <f t="shared" si="119"/>
        <v>88677677.88000001</v>
      </c>
      <c r="E164" s="51">
        <f t="shared" si="119"/>
        <v>95771892.110400021</v>
      </c>
      <c r="F164" s="51">
        <f t="shared" si="119"/>
        <v>108222238.08475201</v>
      </c>
      <c r="G164" s="51">
        <f t="shared" si="119"/>
        <v>124455573.7974648</v>
      </c>
      <c r="H164" s="51">
        <f t="shared" si="119"/>
        <v>138145686.91518596</v>
      </c>
      <c r="I164" s="51">
        <f t="shared" si="119"/>
        <v>154723169.34500828</v>
      </c>
      <c r="J164" s="51">
        <f t="shared" si="119"/>
        <v>174837181.35985935</v>
      </c>
      <c r="K164" s="51">
        <f t="shared" si="119"/>
        <v>192320899.49584529</v>
      </c>
      <c r="L164" s="51">
        <f t="shared" ref="L164" si="120">L32</f>
        <v>211552989.44542983</v>
      </c>
      <c r="N164" s="170"/>
    </row>
    <row r="165" spans="1:14" x14ac:dyDescent="0.45">
      <c r="A165" s="68" t="s">
        <v>69</v>
      </c>
      <c r="B165" s="51">
        <f>B164/12</f>
        <v>6220375.833333333</v>
      </c>
      <c r="C165" s="51">
        <f t="shared" ref="C165:K165" si="121">C164/12</f>
        <v>6842413.416666667</v>
      </c>
      <c r="D165" s="51">
        <f t="shared" si="121"/>
        <v>7389806.4900000012</v>
      </c>
      <c r="E165" s="51">
        <f t="shared" si="121"/>
        <v>7980991.0092000021</v>
      </c>
      <c r="F165" s="51">
        <f t="shared" si="121"/>
        <v>9018519.8403960001</v>
      </c>
      <c r="G165" s="51">
        <f t="shared" si="121"/>
        <v>10371297.8164554</v>
      </c>
      <c r="H165" s="51">
        <f t="shared" si="121"/>
        <v>11512140.576265497</v>
      </c>
      <c r="I165" s="51">
        <f t="shared" si="121"/>
        <v>12893597.445417358</v>
      </c>
      <c r="J165" s="51">
        <f t="shared" si="121"/>
        <v>14569765.113321612</v>
      </c>
      <c r="K165" s="51">
        <f t="shared" si="121"/>
        <v>16026741.624653773</v>
      </c>
      <c r="L165" s="51">
        <f t="shared" ref="L165" si="122">L164/12</f>
        <v>17629415.787119154</v>
      </c>
      <c r="N165" s="170"/>
    </row>
    <row r="166" spans="1:14" x14ac:dyDescent="0.45">
      <c r="A166" s="68" t="s">
        <v>2</v>
      </c>
      <c r="B166" s="51">
        <f>B84</f>
        <v>22029164</v>
      </c>
      <c r="C166" s="51">
        <f t="shared" ref="C166:K166" si="123">C84</f>
        <v>13478117.541666668</v>
      </c>
      <c r="D166" s="51">
        <f t="shared" si="123"/>
        <v>15910918.225000001</v>
      </c>
      <c r="E166" s="51">
        <f t="shared" si="123"/>
        <v>18113388.523000006</v>
      </c>
      <c r="F166" s="51">
        <f t="shared" si="123"/>
        <v>22108891.600990001</v>
      </c>
      <c r="G166" s="51">
        <f t="shared" si="123"/>
        <v>26798333.5411385</v>
      </c>
      <c r="H166" s="51">
        <f t="shared" si="123"/>
        <v>28780351.440663744</v>
      </c>
      <c r="I166" s="51">
        <f t="shared" si="123"/>
        <v>32233993.613543395</v>
      </c>
      <c r="J166" s="51">
        <f t="shared" si="123"/>
        <v>36424412.783304028</v>
      </c>
      <c r="K166" s="51">
        <f t="shared" si="123"/>
        <v>41794867.061634436</v>
      </c>
      <c r="L166" s="51">
        <f t="shared" ref="L166" si="124">L84</f>
        <v>44073539.467797883</v>
      </c>
      <c r="N166" s="170"/>
    </row>
    <row r="167" spans="1:14" x14ac:dyDescent="0.45">
      <c r="A167" s="98" t="s">
        <v>70</v>
      </c>
      <c r="B167" s="99">
        <f>B166/B165</f>
        <v>3.5414522514783742</v>
      </c>
      <c r="C167" s="99">
        <f>C166/C165</f>
        <v>1.9697900025796211</v>
      </c>
      <c r="D167" s="99">
        <f t="shared" ref="D167:E167" si="125">D166/D165</f>
        <v>2.1530899688010638</v>
      </c>
      <c r="E167" s="99">
        <f t="shared" si="125"/>
        <v>2.2695663360753056</v>
      </c>
      <c r="F167" s="99">
        <f>F166/F165</f>
        <v>2.4514989147065189</v>
      </c>
      <c r="G167" s="99">
        <f t="shared" ref="G167:K167" si="126">G166/G165</f>
        <v>2.5838939364579323</v>
      </c>
      <c r="H167" s="99">
        <f t="shared" si="126"/>
        <v>2.5</v>
      </c>
      <c r="I167" s="99">
        <f t="shared" si="126"/>
        <v>2.5</v>
      </c>
      <c r="J167" s="99">
        <f t="shared" si="126"/>
        <v>2.5</v>
      </c>
      <c r="K167" s="99">
        <f t="shared" si="126"/>
        <v>2.6078206063634179</v>
      </c>
      <c r="L167" s="99">
        <f t="shared" ref="L167" si="127">L166/L165</f>
        <v>2.5</v>
      </c>
      <c r="N167" s="100"/>
    </row>
    <row r="168" spans="1:14" x14ac:dyDescent="0.45">
      <c r="A168" s="87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N168" s="100"/>
    </row>
    <row r="169" spans="1:14" hidden="1" x14ac:dyDescent="0.45">
      <c r="A169" s="213" t="s">
        <v>71</v>
      </c>
      <c r="B169" s="213"/>
      <c r="C169" s="213"/>
    </row>
    <row r="170" spans="1:14" hidden="1" x14ac:dyDescent="0.45">
      <c r="A170" s="62"/>
      <c r="B170" s="62"/>
      <c r="C170" s="62"/>
      <c r="D170" s="118"/>
      <c r="E170" s="118"/>
      <c r="F170" s="118"/>
      <c r="G170" s="172"/>
      <c r="H170" s="172"/>
      <c r="I170" s="172"/>
      <c r="J170" s="172"/>
      <c r="K170" s="172"/>
      <c r="L170" s="202"/>
      <c r="N170" s="172"/>
    </row>
    <row r="171" spans="1:14" hidden="1" x14ac:dyDescent="0.45">
      <c r="A171" s="64" t="s">
        <v>0</v>
      </c>
      <c r="B171" s="125" t="str">
        <f>B161</f>
        <v>31 Mar,26</v>
      </c>
      <c r="C171" s="125" t="str">
        <f t="shared" ref="C171:L171" si="128">C161</f>
        <v>31 Mar,27</v>
      </c>
      <c r="D171" s="125" t="str">
        <f t="shared" si="128"/>
        <v>31 Mar,28</v>
      </c>
      <c r="E171" s="125" t="str">
        <f t="shared" si="128"/>
        <v>31 Mar,29</v>
      </c>
      <c r="F171" s="125" t="str">
        <f t="shared" si="128"/>
        <v>32 Mar,30</v>
      </c>
      <c r="G171" s="125" t="str">
        <f t="shared" si="128"/>
        <v>32 Mar,31</v>
      </c>
      <c r="H171" s="125" t="str">
        <f t="shared" si="128"/>
        <v>33 Mar,32</v>
      </c>
      <c r="I171" s="125" t="str">
        <f t="shared" si="128"/>
        <v>33 Mar,33</v>
      </c>
      <c r="J171" s="125" t="str">
        <f t="shared" si="128"/>
        <v>34 Mar,34</v>
      </c>
      <c r="K171" s="125" t="str">
        <f t="shared" si="128"/>
        <v>34 Mar,35</v>
      </c>
      <c r="L171" s="125" t="str">
        <f t="shared" si="128"/>
        <v>34 Mar,36</v>
      </c>
      <c r="N171" s="181"/>
    </row>
    <row r="172" spans="1:14" hidden="1" x14ac:dyDescent="0.45">
      <c r="A172" s="65"/>
      <c r="B172" s="122" t="str">
        <f>B162</f>
        <v>PROVISIONAL</v>
      </c>
      <c r="C172" s="122" t="str">
        <f t="shared" ref="C172:E172" si="129">C162</f>
        <v>PROJECTED</v>
      </c>
      <c r="D172" s="122" t="str">
        <f t="shared" si="129"/>
        <v>PROJECTED</v>
      </c>
      <c r="E172" s="122" t="str">
        <f t="shared" si="129"/>
        <v>PROJECTED</v>
      </c>
      <c r="F172" s="122" t="str">
        <f>F162</f>
        <v>PROJECTED</v>
      </c>
      <c r="G172" s="122" t="str">
        <f>G162</f>
        <v>PROJECTED</v>
      </c>
      <c r="H172" s="122" t="str">
        <f t="shared" ref="H172:K172" si="130">H162</f>
        <v>PROJECTED</v>
      </c>
      <c r="I172" s="122" t="str">
        <f t="shared" si="130"/>
        <v>PROJECTED</v>
      </c>
      <c r="J172" s="122" t="str">
        <f t="shared" si="130"/>
        <v>PROJECTED</v>
      </c>
      <c r="K172" s="122" t="str">
        <f t="shared" si="130"/>
        <v>PROJECTED</v>
      </c>
      <c r="L172" s="122" t="str">
        <f t="shared" ref="L172" si="131">L162</f>
        <v>PROJECTED</v>
      </c>
      <c r="N172" s="181"/>
    </row>
    <row r="173" spans="1:14" hidden="1" x14ac:dyDescent="0.45">
      <c r="A173" s="66"/>
      <c r="B173" s="96"/>
      <c r="C173" s="96"/>
      <c r="D173" s="49"/>
      <c r="E173" s="96"/>
      <c r="F173" s="96"/>
      <c r="G173" s="96"/>
      <c r="H173" s="96"/>
      <c r="I173" s="96"/>
      <c r="J173" s="96"/>
      <c r="K173" s="96"/>
      <c r="L173" s="96"/>
      <c r="N173" s="49"/>
    </row>
    <row r="174" spans="1:14" hidden="1" x14ac:dyDescent="0.45">
      <c r="A174" s="68" t="s">
        <v>68</v>
      </c>
      <c r="B174" s="97">
        <f>B164</f>
        <v>74644510</v>
      </c>
      <c r="C174" s="97">
        <f t="shared" ref="C174:E174" si="132">C164</f>
        <v>82108961</v>
      </c>
      <c r="D174" s="97">
        <f t="shared" si="132"/>
        <v>88677677.88000001</v>
      </c>
      <c r="E174" s="97">
        <f t="shared" si="132"/>
        <v>95771892.110400021</v>
      </c>
      <c r="F174" s="97">
        <f>F164</f>
        <v>108222238.08475201</v>
      </c>
      <c r="G174" s="97">
        <f t="shared" ref="G174:K174" si="133">G164</f>
        <v>124455573.7974648</v>
      </c>
      <c r="H174" s="97">
        <f t="shared" si="133"/>
        <v>138145686.91518596</v>
      </c>
      <c r="I174" s="97">
        <f t="shared" si="133"/>
        <v>154723169.34500828</v>
      </c>
      <c r="J174" s="97">
        <f t="shared" si="133"/>
        <v>174837181.35985935</v>
      </c>
      <c r="K174" s="97">
        <f t="shared" si="133"/>
        <v>192320899.49584529</v>
      </c>
      <c r="L174" s="97">
        <f t="shared" ref="L174" si="134">L164</f>
        <v>211552989.44542983</v>
      </c>
      <c r="N174" s="170"/>
    </row>
    <row r="175" spans="1:14" hidden="1" x14ac:dyDescent="0.45">
      <c r="A175" s="68" t="s">
        <v>72</v>
      </c>
      <c r="B175" s="126">
        <f>B174/12</f>
        <v>6220375.833333333</v>
      </c>
      <c r="C175" s="126">
        <f t="shared" ref="C175:E175" si="135">C174/12</f>
        <v>6842413.416666667</v>
      </c>
      <c r="D175" s="126">
        <f t="shared" si="135"/>
        <v>7389806.4900000012</v>
      </c>
      <c r="E175" s="126">
        <f t="shared" si="135"/>
        <v>7980991.0092000021</v>
      </c>
      <c r="F175" s="126">
        <f>F174/12</f>
        <v>9018519.8403960001</v>
      </c>
      <c r="G175" s="126">
        <f t="shared" ref="G175:K175" si="136">G174/12</f>
        <v>10371297.8164554</v>
      </c>
      <c r="H175" s="126">
        <f t="shared" si="136"/>
        <v>11512140.576265497</v>
      </c>
      <c r="I175" s="126">
        <f t="shared" si="136"/>
        <v>12893597.445417358</v>
      </c>
      <c r="J175" s="126">
        <f t="shared" si="136"/>
        <v>14569765.113321612</v>
      </c>
      <c r="K175" s="126">
        <f t="shared" si="136"/>
        <v>16026741.624653773</v>
      </c>
      <c r="L175" s="126">
        <f t="shared" ref="L175" si="137">L174/12</f>
        <v>17629415.787119154</v>
      </c>
      <c r="N175" s="191"/>
    </row>
    <row r="176" spans="1:14" hidden="1" x14ac:dyDescent="0.45">
      <c r="A176" s="68" t="s">
        <v>73</v>
      </c>
      <c r="B176" s="97">
        <f>B33</f>
        <v>0</v>
      </c>
      <c r="C176" s="97">
        <f t="shared" ref="C176:E176" si="138">C33</f>
        <v>0</v>
      </c>
      <c r="D176" s="97">
        <f t="shared" si="138"/>
        <v>0</v>
      </c>
      <c r="E176" s="97">
        <f t="shared" si="138"/>
        <v>0</v>
      </c>
      <c r="F176" s="97">
        <f>F33</f>
        <v>0</v>
      </c>
      <c r="G176" s="97">
        <f t="shared" ref="G176:K176" si="139">G33</f>
        <v>0</v>
      </c>
      <c r="H176" s="97">
        <f t="shared" si="139"/>
        <v>0</v>
      </c>
      <c r="I176" s="97">
        <f t="shared" si="139"/>
        <v>0</v>
      </c>
      <c r="J176" s="97">
        <f t="shared" si="139"/>
        <v>0</v>
      </c>
      <c r="K176" s="97">
        <f t="shared" si="139"/>
        <v>0</v>
      </c>
      <c r="L176" s="97">
        <f t="shared" ref="L176" si="140">L33</f>
        <v>0</v>
      </c>
      <c r="N176" s="170"/>
    </row>
    <row r="177" spans="1:14" hidden="1" x14ac:dyDescent="0.45">
      <c r="A177" s="98" t="s">
        <v>74</v>
      </c>
      <c r="B177" s="99">
        <f>B176/B175</f>
        <v>0</v>
      </c>
      <c r="C177" s="99">
        <f t="shared" ref="C177:E177" si="141">C176/C175</f>
        <v>0</v>
      </c>
      <c r="D177" s="99">
        <f t="shared" si="141"/>
        <v>0</v>
      </c>
      <c r="E177" s="99">
        <f t="shared" si="141"/>
        <v>0</v>
      </c>
      <c r="F177" s="99">
        <f>F176/F175</f>
        <v>0</v>
      </c>
      <c r="G177" s="99">
        <f t="shared" ref="G177:K177" si="142">G176/G175</f>
        <v>0</v>
      </c>
      <c r="H177" s="99">
        <f t="shared" si="142"/>
        <v>0</v>
      </c>
      <c r="I177" s="99">
        <f t="shared" si="142"/>
        <v>0</v>
      </c>
      <c r="J177" s="99">
        <f t="shared" si="142"/>
        <v>0</v>
      </c>
      <c r="K177" s="99">
        <f t="shared" si="142"/>
        <v>0</v>
      </c>
      <c r="L177" s="99">
        <f t="shared" ref="L177" si="143">L176/L175</f>
        <v>0</v>
      </c>
      <c r="N177" s="100"/>
    </row>
    <row r="178" spans="1:14" x14ac:dyDescent="0.45">
      <c r="A178" s="87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N178" s="100"/>
    </row>
    <row r="179" spans="1:14" x14ac:dyDescent="0.45"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N179" s="42"/>
    </row>
    <row r="180" spans="1:14" x14ac:dyDescent="0.45">
      <c r="A180" s="211" t="str">
        <f>A24</f>
        <v>M/S SHREE ENTERPRISES</v>
      </c>
      <c r="B180" s="211"/>
      <c r="C180" s="211"/>
    </row>
    <row r="181" spans="1:14" x14ac:dyDescent="0.45">
      <c r="A181" s="40"/>
      <c r="B181" s="40"/>
      <c r="C181" s="40"/>
      <c r="D181" s="117"/>
      <c r="E181" s="117"/>
      <c r="F181" s="117"/>
      <c r="G181" s="171"/>
      <c r="H181" s="171"/>
      <c r="I181" s="171"/>
      <c r="J181" s="171"/>
      <c r="K181" s="171"/>
      <c r="L181" s="201"/>
      <c r="N181" s="171"/>
    </row>
    <row r="182" spans="1:14" x14ac:dyDescent="0.45"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N182" s="42"/>
    </row>
    <row r="183" spans="1:14" x14ac:dyDescent="0.45">
      <c r="A183" s="214" t="s">
        <v>4</v>
      </c>
      <c r="B183" s="214"/>
      <c r="C183" s="214"/>
    </row>
    <row r="184" spans="1:14" x14ac:dyDescent="0.45">
      <c r="A184" s="83"/>
      <c r="B184" s="83"/>
      <c r="C184" s="83"/>
      <c r="D184" s="119"/>
      <c r="E184" s="119"/>
      <c r="F184" s="119"/>
      <c r="G184" s="173"/>
      <c r="H184" s="173"/>
      <c r="I184" s="173"/>
      <c r="J184" s="173"/>
      <c r="K184" s="173"/>
      <c r="L184" s="203"/>
      <c r="N184" s="173"/>
    </row>
    <row r="185" spans="1:14" x14ac:dyDescent="0.45">
      <c r="A185" s="101" t="s">
        <v>0</v>
      </c>
      <c r="B185" s="125" t="str">
        <f>B161</f>
        <v>31 Mar,26</v>
      </c>
      <c r="C185" s="125" t="str">
        <f t="shared" ref="C185:L185" si="144">C161</f>
        <v>31 Mar,27</v>
      </c>
      <c r="D185" s="125" t="str">
        <f t="shared" si="144"/>
        <v>31 Mar,28</v>
      </c>
      <c r="E185" s="125" t="str">
        <f t="shared" si="144"/>
        <v>31 Mar,29</v>
      </c>
      <c r="F185" s="125" t="str">
        <f t="shared" si="144"/>
        <v>32 Mar,30</v>
      </c>
      <c r="G185" s="125" t="str">
        <f t="shared" si="144"/>
        <v>32 Mar,31</v>
      </c>
      <c r="H185" s="125" t="str">
        <f t="shared" si="144"/>
        <v>33 Mar,32</v>
      </c>
      <c r="I185" s="125" t="str">
        <f t="shared" si="144"/>
        <v>33 Mar,33</v>
      </c>
      <c r="J185" s="125" t="str">
        <f t="shared" si="144"/>
        <v>34 Mar,34</v>
      </c>
      <c r="K185" s="125" t="str">
        <f t="shared" si="144"/>
        <v>34 Mar,35</v>
      </c>
      <c r="L185" s="125" t="str">
        <f t="shared" si="144"/>
        <v>34 Mar,36</v>
      </c>
      <c r="N185" s="181"/>
    </row>
    <row r="186" spans="1:14" x14ac:dyDescent="0.45">
      <c r="A186" s="102" t="s">
        <v>28</v>
      </c>
      <c r="B186" s="122" t="str">
        <f>B162</f>
        <v>PROVISIONAL</v>
      </c>
      <c r="C186" s="122" t="str">
        <f t="shared" ref="C186:L186" si="145">C162</f>
        <v>PROJECTED</v>
      </c>
      <c r="D186" s="122" t="str">
        <f t="shared" si="145"/>
        <v>PROJECTED</v>
      </c>
      <c r="E186" s="122" t="str">
        <f t="shared" si="145"/>
        <v>PROJECTED</v>
      </c>
      <c r="F186" s="122" t="str">
        <f t="shared" si="145"/>
        <v>PROJECTED</v>
      </c>
      <c r="G186" s="122" t="str">
        <f t="shared" si="145"/>
        <v>PROJECTED</v>
      </c>
      <c r="H186" s="122" t="str">
        <f t="shared" si="145"/>
        <v>PROJECTED</v>
      </c>
      <c r="I186" s="122" t="str">
        <f t="shared" si="145"/>
        <v>PROJECTED</v>
      </c>
      <c r="J186" s="122" t="str">
        <f t="shared" si="145"/>
        <v>PROJECTED</v>
      </c>
      <c r="K186" s="122" t="str">
        <f t="shared" si="145"/>
        <v>PROJECTED</v>
      </c>
      <c r="L186" s="122" t="str">
        <f t="shared" si="145"/>
        <v>PROJECTED</v>
      </c>
      <c r="N186" s="181"/>
    </row>
    <row r="187" spans="1:14" x14ac:dyDescent="0.45">
      <c r="A187" s="68" t="s">
        <v>5</v>
      </c>
      <c r="B187" s="51">
        <v>0</v>
      </c>
      <c r="C187" s="51">
        <f>B191</f>
        <v>0</v>
      </c>
      <c r="D187" s="51">
        <f t="shared" ref="D187:E187" si="146">C191</f>
        <v>118750</v>
      </c>
      <c r="E187" s="51">
        <f t="shared" si="146"/>
        <v>106875</v>
      </c>
      <c r="F187" s="51">
        <f>E191</f>
        <v>96187.5</v>
      </c>
      <c r="G187" s="51">
        <f t="shared" ref="G187:J187" si="147">F191</f>
        <v>86568.75</v>
      </c>
      <c r="H187" s="51">
        <f t="shared" si="147"/>
        <v>77911.875</v>
      </c>
      <c r="I187" s="51">
        <f t="shared" si="147"/>
        <v>70120.6875</v>
      </c>
      <c r="J187" s="51">
        <f t="shared" si="147"/>
        <v>63108.618750000001</v>
      </c>
      <c r="K187" s="51">
        <f>J191</f>
        <v>56797.756874999999</v>
      </c>
      <c r="L187" s="51">
        <f>K191</f>
        <v>51117.981187500001</v>
      </c>
      <c r="N187" s="87"/>
    </row>
    <row r="188" spans="1:14" x14ac:dyDescent="0.45">
      <c r="A188" s="68" t="s">
        <v>6</v>
      </c>
      <c r="B188" s="103">
        <v>0</v>
      </c>
      <c r="C188" s="103">
        <v>125000</v>
      </c>
      <c r="D188" s="103">
        <v>0</v>
      </c>
      <c r="E188" s="103">
        <v>0</v>
      </c>
      <c r="F188" s="103">
        <v>0</v>
      </c>
      <c r="G188" s="103">
        <v>0</v>
      </c>
      <c r="H188" s="103">
        <v>0</v>
      </c>
      <c r="I188" s="103">
        <v>0</v>
      </c>
      <c r="J188" s="103">
        <v>0</v>
      </c>
      <c r="K188" s="103">
        <v>0</v>
      </c>
      <c r="L188" s="103">
        <v>0</v>
      </c>
      <c r="N188" s="170"/>
    </row>
    <row r="189" spans="1:14" x14ac:dyDescent="0.45">
      <c r="A189" s="68" t="s">
        <v>7</v>
      </c>
      <c r="B189" s="51">
        <f>SUM(B187:B188)</f>
        <v>0</v>
      </c>
      <c r="C189" s="51">
        <f>SUM(C187:C188)</f>
        <v>125000</v>
      </c>
      <c r="D189" s="51">
        <f t="shared" ref="D189:E189" si="148">SUM(D187:D188)</f>
        <v>118750</v>
      </c>
      <c r="E189" s="51">
        <f t="shared" si="148"/>
        <v>106875</v>
      </c>
      <c r="F189" s="51">
        <f>SUM(F187:F188)</f>
        <v>96187.5</v>
      </c>
      <c r="G189" s="51">
        <f t="shared" ref="G189:K189" si="149">SUM(G187:G188)</f>
        <v>86568.75</v>
      </c>
      <c r="H189" s="51">
        <f t="shared" si="149"/>
        <v>77911.875</v>
      </c>
      <c r="I189" s="51">
        <f t="shared" si="149"/>
        <v>70120.6875</v>
      </c>
      <c r="J189" s="51">
        <f t="shared" si="149"/>
        <v>63108.618750000001</v>
      </c>
      <c r="K189" s="51">
        <f t="shared" si="149"/>
        <v>56797.756874999999</v>
      </c>
      <c r="L189" s="51">
        <f t="shared" ref="L189" si="150">SUM(L187:L188)</f>
        <v>51117.981187500001</v>
      </c>
      <c r="N189" s="170"/>
    </row>
    <row r="190" spans="1:14" x14ac:dyDescent="0.45">
      <c r="A190" s="68" t="s">
        <v>30</v>
      </c>
      <c r="B190" s="126">
        <f>B189*5%</f>
        <v>0</v>
      </c>
      <c r="C190" s="126">
        <f>C187*10%+C188*5%</f>
        <v>6250</v>
      </c>
      <c r="D190" s="126">
        <f t="shared" ref="D190:E190" si="151">D189*10%</f>
        <v>11875</v>
      </c>
      <c r="E190" s="126">
        <f t="shared" si="151"/>
        <v>10687.5</v>
      </c>
      <c r="F190" s="126">
        <f>F189*10%</f>
        <v>9618.75</v>
      </c>
      <c r="G190" s="126">
        <f t="shared" ref="G190:K190" si="152">G189*10%</f>
        <v>8656.875</v>
      </c>
      <c r="H190" s="126">
        <f t="shared" si="152"/>
        <v>7791.1875</v>
      </c>
      <c r="I190" s="126">
        <f t="shared" si="152"/>
        <v>7012.0687500000004</v>
      </c>
      <c r="J190" s="126">
        <f t="shared" si="152"/>
        <v>6310.8618750000005</v>
      </c>
      <c r="K190" s="126">
        <f t="shared" si="152"/>
        <v>5679.7756875000005</v>
      </c>
      <c r="L190" s="126">
        <f t="shared" ref="L190" si="153">L189*10%</f>
        <v>5111.7981187500009</v>
      </c>
      <c r="N190" s="190"/>
    </row>
    <row r="191" spans="1:14" x14ac:dyDescent="0.45">
      <c r="A191" s="104" t="s">
        <v>67</v>
      </c>
      <c r="B191" s="105">
        <f>B189-B190</f>
        <v>0</v>
      </c>
      <c r="C191" s="105">
        <f>C189-C190</f>
        <v>118750</v>
      </c>
      <c r="D191" s="105">
        <f t="shared" ref="D191:E191" si="154">D189-D190</f>
        <v>106875</v>
      </c>
      <c r="E191" s="105">
        <f t="shared" si="154"/>
        <v>96187.5</v>
      </c>
      <c r="F191" s="105">
        <f>F189-F190</f>
        <v>86568.75</v>
      </c>
      <c r="G191" s="105">
        <f t="shared" ref="G191:K191" si="155">G189-G190</f>
        <v>77911.875</v>
      </c>
      <c r="H191" s="105">
        <f t="shared" si="155"/>
        <v>70120.6875</v>
      </c>
      <c r="I191" s="105">
        <f t="shared" si="155"/>
        <v>63108.618750000001</v>
      </c>
      <c r="J191" s="105">
        <f t="shared" si="155"/>
        <v>56797.756874999999</v>
      </c>
      <c r="K191" s="105">
        <f t="shared" si="155"/>
        <v>51117.981187500001</v>
      </c>
      <c r="L191" s="105">
        <f t="shared" ref="L191" si="156">L189-L190</f>
        <v>46006.183068750004</v>
      </c>
      <c r="N191" s="170"/>
    </row>
    <row r="192" spans="1:14" x14ac:dyDescent="0.4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N192" s="63"/>
    </row>
    <row r="193" spans="1:14" x14ac:dyDescent="0.4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N193" s="63"/>
    </row>
    <row r="194" spans="1:14" x14ac:dyDescent="0.45">
      <c r="A194" s="101" t="s">
        <v>0</v>
      </c>
      <c r="B194" s="125" t="str">
        <f>B185</f>
        <v>31 Mar,26</v>
      </c>
      <c r="C194" s="125" t="str">
        <f t="shared" ref="C194:E194" si="157">C185</f>
        <v>31 Mar,27</v>
      </c>
      <c r="D194" s="125" t="str">
        <f t="shared" si="157"/>
        <v>31 Mar,28</v>
      </c>
      <c r="E194" s="125" t="str">
        <f t="shared" si="157"/>
        <v>31 Mar,29</v>
      </c>
      <c r="F194" s="125" t="str">
        <f>F185</f>
        <v>32 Mar,30</v>
      </c>
      <c r="G194" s="125" t="str">
        <f>G185</f>
        <v>32 Mar,31</v>
      </c>
      <c r="H194" s="125" t="str">
        <f t="shared" ref="H194:K194" si="158">H185</f>
        <v>33 Mar,32</v>
      </c>
      <c r="I194" s="125" t="str">
        <f t="shared" si="158"/>
        <v>33 Mar,33</v>
      </c>
      <c r="J194" s="125" t="str">
        <f t="shared" si="158"/>
        <v>34 Mar,34</v>
      </c>
      <c r="K194" s="125" t="str">
        <f t="shared" si="158"/>
        <v>34 Mar,35</v>
      </c>
      <c r="L194" s="125" t="str">
        <f t="shared" ref="L194" si="159">L185</f>
        <v>34 Mar,36</v>
      </c>
      <c r="N194" s="181"/>
    </row>
    <row r="195" spans="1:14" x14ac:dyDescent="0.45">
      <c r="A195" s="102" t="s">
        <v>66</v>
      </c>
      <c r="B195" s="169" t="str">
        <f>B186</f>
        <v>PROVISIONAL</v>
      </c>
      <c r="C195" s="169" t="str">
        <f t="shared" ref="C195:E195" si="160">C186</f>
        <v>PROJECTED</v>
      </c>
      <c r="D195" s="169" t="str">
        <f t="shared" si="160"/>
        <v>PROJECTED</v>
      </c>
      <c r="E195" s="169" t="str">
        <f t="shared" si="160"/>
        <v>PROJECTED</v>
      </c>
      <c r="F195" s="169" t="str">
        <f>F186</f>
        <v>PROJECTED</v>
      </c>
      <c r="G195" s="169" t="str">
        <f>G186</f>
        <v>PROJECTED</v>
      </c>
      <c r="H195" s="169" t="str">
        <f t="shared" ref="H195:K195" si="161">H186</f>
        <v>PROJECTED</v>
      </c>
      <c r="I195" s="169" t="str">
        <f t="shared" si="161"/>
        <v>PROJECTED</v>
      </c>
      <c r="J195" s="169" t="str">
        <f t="shared" si="161"/>
        <v>PROJECTED</v>
      </c>
      <c r="K195" s="169" t="str">
        <f t="shared" si="161"/>
        <v>PROJECTED</v>
      </c>
      <c r="L195" s="169" t="str">
        <f t="shared" ref="L195" si="162">L186</f>
        <v>PROJECTED</v>
      </c>
      <c r="N195" s="181"/>
    </row>
    <row r="196" spans="1:14" x14ac:dyDescent="0.45">
      <c r="A196" s="68" t="s">
        <v>5</v>
      </c>
      <c r="B196" s="51">
        <v>216828</v>
      </c>
      <c r="C196" s="97">
        <f>B200</f>
        <v>184303.8</v>
      </c>
      <c r="D196" s="51">
        <f t="shared" ref="D196:E196" si="163">C200</f>
        <v>226033.22999999998</v>
      </c>
      <c r="E196" s="51">
        <f t="shared" si="163"/>
        <v>192128.24549999999</v>
      </c>
      <c r="F196" s="170">
        <f>E200</f>
        <v>163309.00867499999</v>
      </c>
      <c r="G196" s="170">
        <f t="shared" ref="G196:J196" si="164">F200</f>
        <v>138812.65737375</v>
      </c>
      <c r="H196" s="170">
        <f t="shared" si="164"/>
        <v>117990.7587676875</v>
      </c>
      <c r="I196" s="170">
        <f t="shared" si="164"/>
        <v>207179.64495253435</v>
      </c>
      <c r="J196" s="170">
        <f t="shared" si="164"/>
        <v>176102.69820965419</v>
      </c>
      <c r="K196" s="170">
        <f>J200</f>
        <v>149687.29347820606</v>
      </c>
      <c r="L196" s="170">
        <f>K200</f>
        <v>127234.19945647515</v>
      </c>
      <c r="N196" s="170"/>
    </row>
    <row r="197" spans="1:14" x14ac:dyDescent="0.45">
      <c r="A197" s="68" t="s">
        <v>6</v>
      </c>
      <c r="B197" s="103">
        <v>0</v>
      </c>
      <c r="C197" s="106">
        <v>75000</v>
      </c>
      <c r="D197" s="103">
        <v>0</v>
      </c>
      <c r="E197" s="103">
        <v>0</v>
      </c>
      <c r="F197" s="106">
        <v>0</v>
      </c>
      <c r="G197" s="106">
        <v>0</v>
      </c>
      <c r="H197" s="106">
        <v>125750</v>
      </c>
      <c r="I197" s="106">
        <v>0</v>
      </c>
      <c r="J197" s="106">
        <v>0</v>
      </c>
      <c r="K197" s="106">
        <v>0</v>
      </c>
      <c r="L197" s="106">
        <v>0</v>
      </c>
      <c r="N197" s="170"/>
    </row>
    <row r="198" spans="1:14" x14ac:dyDescent="0.45">
      <c r="A198" s="68" t="s">
        <v>7</v>
      </c>
      <c r="B198" s="51">
        <f>B196+B197</f>
        <v>216828</v>
      </c>
      <c r="C198" s="51">
        <f>SUM(C196:C197)</f>
        <v>259303.8</v>
      </c>
      <c r="D198" s="51">
        <f t="shared" ref="D198:E198" si="165">SUM(D196:D197)</f>
        <v>226033.22999999998</v>
      </c>
      <c r="E198" s="51">
        <f t="shared" si="165"/>
        <v>192128.24549999999</v>
      </c>
      <c r="F198" s="51">
        <f>SUM(F196:F197)</f>
        <v>163309.00867499999</v>
      </c>
      <c r="G198" s="51">
        <f t="shared" ref="G198:K198" si="166">SUM(G196:G197)</f>
        <v>138812.65737375</v>
      </c>
      <c r="H198" s="51">
        <f t="shared" si="166"/>
        <v>243740.75876768748</v>
      </c>
      <c r="I198" s="51">
        <f t="shared" si="166"/>
        <v>207179.64495253435</v>
      </c>
      <c r="J198" s="51">
        <f t="shared" si="166"/>
        <v>176102.69820965419</v>
      </c>
      <c r="K198" s="51">
        <f t="shared" si="166"/>
        <v>149687.29347820606</v>
      </c>
      <c r="L198" s="51">
        <f t="shared" ref="L198" si="167">SUM(L196:L197)</f>
        <v>127234.19945647515</v>
      </c>
      <c r="N198" s="170"/>
    </row>
    <row r="199" spans="1:14" x14ac:dyDescent="0.45">
      <c r="A199" s="68" t="s">
        <v>58</v>
      </c>
      <c r="B199" s="207">
        <f>B198*15%</f>
        <v>32524.199999999997</v>
      </c>
      <c r="C199" s="126">
        <f>C196*15%+C197*7.5%</f>
        <v>33270.569999999992</v>
      </c>
      <c r="D199" s="126">
        <f t="shared" ref="D199:E199" si="168">D198*15%</f>
        <v>33904.984499999999</v>
      </c>
      <c r="E199" s="126">
        <f t="shared" si="168"/>
        <v>28819.236824999996</v>
      </c>
      <c r="F199" s="126">
        <f>F198*15%</f>
        <v>24496.351301249997</v>
      </c>
      <c r="G199" s="126">
        <f t="shared" ref="G199:K199" si="169">G198*15%</f>
        <v>20821.898606062499</v>
      </c>
      <c r="H199" s="126">
        <f t="shared" si="169"/>
        <v>36561.11381515312</v>
      </c>
      <c r="I199" s="126">
        <f t="shared" si="169"/>
        <v>31076.946742880151</v>
      </c>
      <c r="J199" s="126">
        <f t="shared" si="169"/>
        <v>26415.404731448129</v>
      </c>
      <c r="K199" s="126">
        <f t="shared" si="169"/>
        <v>22453.094021730907</v>
      </c>
      <c r="L199" s="126">
        <f t="shared" ref="L199" si="170">L198*15%</f>
        <v>19085.129918471273</v>
      </c>
      <c r="N199" s="190"/>
    </row>
    <row r="200" spans="1:14" x14ac:dyDescent="0.45">
      <c r="A200" s="104" t="s">
        <v>8</v>
      </c>
      <c r="B200" s="105">
        <f>B198-B199</f>
        <v>184303.8</v>
      </c>
      <c r="C200" s="105">
        <f>C198-C199</f>
        <v>226033.22999999998</v>
      </c>
      <c r="D200" s="105">
        <f t="shared" ref="D200:E200" si="171">D198-D199</f>
        <v>192128.24549999999</v>
      </c>
      <c r="E200" s="105">
        <f t="shared" si="171"/>
        <v>163309.00867499999</v>
      </c>
      <c r="F200" s="105">
        <f>F198-F199</f>
        <v>138812.65737375</v>
      </c>
      <c r="G200" s="105">
        <f t="shared" ref="G200:K200" si="172">G198-G199</f>
        <v>117990.7587676875</v>
      </c>
      <c r="H200" s="105">
        <f t="shared" si="172"/>
        <v>207179.64495253435</v>
      </c>
      <c r="I200" s="105">
        <f t="shared" si="172"/>
        <v>176102.69820965419</v>
      </c>
      <c r="J200" s="105">
        <f t="shared" si="172"/>
        <v>149687.29347820606</v>
      </c>
      <c r="K200" s="105">
        <f t="shared" si="172"/>
        <v>127234.19945647515</v>
      </c>
      <c r="L200" s="105">
        <f t="shared" ref="L200" si="173">L198-L199</f>
        <v>108149.06953800388</v>
      </c>
      <c r="N200" s="170"/>
    </row>
    <row r="201" spans="1:14" x14ac:dyDescent="0.4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N201" s="63"/>
    </row>
    <row r="202" spans="1:14" x14ac:dyDescent="0.4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N202" s="63"/>
    </row>
    <row r="203" spans="1:14" x14ac:dyDescent="0.45">
      <c r="A203" s="101" t="s">
        <v>0</v>
      </c>
      <c r="B203" s="125" t="str">
        <f>B194</f>
        <v>31 Mar,26</v>
      </c>
      <c r="C203" s="125" t="str">
        <f t="shared" ref="C203:E203" si="174">C194</f>
        <v>31 Mar,27</v>
      </c>
      <c r="D203" s="125" t="str">
        <f t="shared" si="174"/>
        <v>31 Mar,28</v>
      </c>
      <c r="E203" s="125" t="str">
        <f t="shared" si="174"/>
        <v>31 Mar,29</v>
      </c>
      <c r="F203" s="125" t="str">
        <f>F194</f>
        <v>32 Mar,30</v>
      </c>
      <c r="G203" s="125" t="str">
        <f>G194</f>
        <v>32 Mar,31</v>
      </c>
      <c r="H203" s="125" t="str">
        <f t="shared" ref="H203:K203" si="175">H194</f>
        <v>33 Mar,32</v>
      </c>
      <c r="I203" s="125" t="str">
        <f t="shared" si="175"/>
        <v>33 Mar,33</v>
      </c>
      <c r="J203" s="125" t="str">
        <f t="shared" si="175"/>
        <v>34 Mar,34</v>
      </c>
      <c r="K203" s="125" t="str">
        <f t="shared" si="175"/>
        <v>34 Mar,35</v>
      </c>
      <c r="L203" s="125" t="str">
        <f t="shared" ref="L203" si="176">L194</f>
        <v>34 Mar,36</v>
      </c>
      <c r="N203" s="181"/>
    </row>
    <row r="204" spans="1:14" x14ac:dyDescent="0.45">
      <c r="A204" s="102" t="s">
        <v>29</v>
      </c>
      <c r="B204" s="122" t="str">
        <f>B195</f>
        <v>PROVISIONAL</v>
      </c>
      <c r="C204" s="122" t="str">
        <f t="shared" ref="C204:E204" si="177">C195</f>
        <v>PROJECTED</v>
      </c>
      <c r="D204" s="122" t="str">
        <f t="shared" si="177"/>
        <v>PROJECTED</v>
      </c>
      <c r="E204" s="122" t="str">
        <f t="shared" si="177"/>
        <v>PROJECTED</v>
      </c>
      <c r="F204" s="122" t="str">
        <f>F195</f>
        <v>PROJECTED</v>
      </c>
      <c r="G204" s="122" t="str">
        <f>G195</f>
        <v>PROJECTED</v>
      </c>
      <c r="H204" s="122" t="str">
        <f t="shared" ref="H204:K204" si="178">H195</f>
        <v>PROJECTED</v>
      </c>
      <c r="I204" s="122" t="str">
        <f t="shared" si="178"/>
        <v>PROJECTED</v>
      </c>
      <c r="J204" s="122" t="str">
        <f t="shared" si="178"/>
        <v>PROJECTED</v>
      </c>
      <c r="K204" s="122" t="str">
        <f t="shared" si="178"/>
        <v>PROJECTED</v>
      </c>
      <c r="L204" s="122" t="str">
        <f t="shared" ref="L204" si="179">L195</f>
        <v>PROJECTED</v>
      </c>
      <c r="N204" s="181"/>
    </row>
    <row r="205" spans="1:14" x14ac:dyDescent="0.45">
      <c r="A205" s="68" t="s">
        <v>5</v>
      </c>
      <c r="B205" s="51">
        <v>0</v>
      </c>
      <c r="C205" s="92">
        <f>B209</f>
        <v>0</v>
      </c>
      <c r="D205" s="92">
        <f t="shared" ref="D205:E205" si="180">C209</f>
        <v>40000</v>
      </c>
      <c r="E205" s="92">
        <f t="shared" si="180"/>
        <v>24000</v>
      </c>
      <c r="F205" s="92">
        <f>E209</f>
        <v>14400</v>
      </c>
      <c r="G205" s="92">
        <f t="shared" ref="G205:J205" si="181">F209</f>
        <v>8640</v>
      </c>
      <c r="H205" s="92">
        <f t="shared" si="181"/>
        <v>5184</v>
      </c>
      <c r="I205" s="92">
        <f t="shared" si="181"/>
        <v>3110.4</v>
      </c>
      <c r="J205" s="92">
        <f t="shared" si="181"/>
        <v>1866.24</v>
      </c>
      <c r="K205" s="92">
        <f>J209</f>
        <v>1119.7439999999999</v>
      </c>
      <c r="L205" s="92">
        <f>K209</f>
        <v>671.8463999999999</v>
      </c>
      <c r="N205" s="87"/>
    </row>
    <row r="206" spans="1:14" x14ac:dyDescent="0.45">
      <c r="A206" s="68" t="s">
        <v>6</v>
      </c>
      <c r="B206" s="103">
        <v>0</v>
      </c>
      <c r="C206" s="103">
        <v>50000</v>
      </c>
      <c r="D206" s="103">
        <v>0</v>
      </c>
      <c r="E206" s="106">
        <v>0</v>
      </c>
      <c r="F206" s="106">
        <v>0</v>
      </c>
      <c r="G206" s="106">
        <v>0</v>
      </c>
      <c r="H206" s="106">
        <v>0</v>
      </c>
      <c r="I206" s="106">
        <v>0</v>
      </c>
      <c r="J206" s="106">
        <v>0</v>
      </c>
      <c r="K206" s="106">
        <v>0</v>
      </c>
      <c r="L206" s="106">
        <v>0</v>
      </c>
      <c r="N206" s="170"/>
    </row>
    <row r="207" spans="1:14" x14ac:dyDescent="0.45">
      <c r="A207" s="68" t="s">
        <v>7</v>
      </c>
      <c r="B207" s="51">
        <f>SUM(B205:B206)</f>
        <v>0</v>
      </c>
      <c r="C207" s="51">
        <f>SUM(C205:C206)</f>
        <v>50000</v>
      </c>
      <c r="D207" s="51">
        <f t="shared" ref="D207:E207" si="182">SUM(D205:D206)</f>
        <v>40000</v>
      </c>
      <c r="E207" s="51">
        <f t="shared" si="182"/>
        <v>24000</v>
      </c>
      <c r="F207" s="51">
        <f>SUM(F205:F206)</f>
        <v>14400</v>
      </c>
      <c r="G207" s="51">
        <f t="shared" ref="G207:K207" si="183">SUM(G205:G206)</f>
        <v>8640</v>
      </c>
      <c r="H207" s="51">
        <f t="shared" si="183"/>
        <v>5184</v>
      </c>
      <c r="I207" s="51">
        <f t="shared" si="183"/>
        <v>3110.4</v>
      </c>
      <c r="J207" s="51">
        <f t="shared" si="183"/>
        <v>1866.24</v>
      </c>
      <c r="K207" s="51">
        <f t="shared" si="183"/>
        <v>1119.7439999999999</v>
      </c>
      <c r="L207" s="51">
        <f t="shared" ref="L207" si="184">SUM(L205:L206)</f>
        <v>671.8463999999999</v>
      </c>
      <c r="N207" s="170"/>
    </row>
    <row r="208" spans="1:14" x14ac:dyDescent="0.45">
      <c r="A208" s="68" t="s">
        <v>117</v>
      </c>
      <c r="B208" s="51">
        <f>B207*20%</f>
        <v>0</v>
      </c>
      <c r="C208" s="51">
        <f>C205*40%+C206*20%</f>
        <v>10000</v>
      </c>
      <c r="D208" s="51">
        <f t="shared" ref="D208:E208" si="185">D207*40%</f>
        <v>16000</v>
      </c>
      <c r="E208" s="51">
        <f t="shared" si="185"/>
        <v>9600</v>
      </c>
      <c r="F208" s="51">
        <f>F207*40%</f>
        <v>5760</v>
      </c>
      <c r="G208" s="51">
        <f t="shared" ref="G208:K208" si="186">G207*40%</f>
        <v>3456</v>
      </c>
      <c r="H208" s="51">
        <f t="shared" si="186"/>
        <v>2073.6</v>
      </c>
      <c r="I208" s="51">
        <f t="shared" si="186"/>
        <v>1244.1600000000001</v>
      </c>
      <c r="J208" s="51">
        <f t="shared" si="186"/>
        <v>746.49600000000009</v>
      </c>
      <c r="K208" s="51">
        <f t="shared" si="186"/>
        <v>447.89760000000001</v>
      </c>
      <c r="L208" s="51">
        <f t="shared" ref="L208" si="187">L207*40%</f>
        <v>268.73855999999995</v>
      </c>
      <c r="N208" s="170"/>
    </row>
    <row r="209" spans="1:14" x14ac:dyDescent="0.45">
      <c r="A209" s="104" t="s">
        <v>8</v>
      </c>
      <c r="B209" s="105">
        <f>B207-B208</f>
        <v>0</v>
      </c>
      <c r="C209" s="105">
        <f>C207-C208</f>
        <v>40000</v>
      </c>
      <c r="D209" s="105">
        <f t="shared" ref="D209:E209" si="188">D207-D208</f>
        <v>24000</v>
      </c>
      <c r="E209" s="105">
        <f t="shared" si="188"/>
        <v>14400</v>
      </c>
      <c r="F209" s="105">
        <f>F207-F208</f>
        <v>8640</v>
      </c>
      <c r="G209" s="105">
        <f t="shared" ref="G209:K209" si="189">G207-G208</f>
        <v>5184</v>
      </c>
      <c r="H209" s="105">
        <f t="shared" si="189"/>
        <v>3110.4</v>
      </c>
      <c r="I209" s="105">
        <f t="shared" si="189"/>
        <v>1866.24</v>
      </c>
      <c r="J209" s="105">
        <f t="shared" si="189"/>
        <v>1119.7439999999999</v>
      </c>
      <c r="K209" s="105">
        <f t="shared" si="189"/>
        <v>671.8463999999999</v>
      </c>
      <c r="L209" s="105">
        <f t="shared" ref="L209" si="190">L207-L208</f>
        <v>403.10783999999995</v>
      </c>
      <c r="N209" s="170"/>
    </row>
    <row r="210" spans="1:14" x14ac:dyDescent="0.4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N210" s="63"/>
    </row>
    <row r="211" spans="1:14" x14ac:dyDescent="0.4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N211" s="63"/>
    </row>
    <row r="212" spans="1:14" x14ac:dyDescent="0.45">
      <c r="A212" s="101" t="s">
        <v>0</v>
      </c>
      <c r="B212" s="125" t="str">
        <f>B203</f>
        <v>31 Mar,26</v>
      </c>
      <c r="C212" s="125" t="str">
        <f t="shared" ref="C212:L212" si="191">C203</f>
        <v>31 Mar,27</v>
      </c>
      <c r="D212" s="125" t="str">
        <f t="shared" si="191"/>
        <v>31 Mar,28</v>
      </c>
      <c r="E212" s="125" t="str">
        <f t="shared" si="191"/>
        <v>31 Mar,29</v>
      </c>
      <c r="F212" s="125" t="str">
        <f t="shared" si="191"/>
        <v>32 Mar,30</v>
      </c>
      <c r="G212" s="125" t="str">
        <f t="shared" si="191"/>
        <v>32 Mar,31</v>
      </c>
      <c r="H212" s="125" t="str">
        <f t="shared" si="191"/>
        <v>33 Mar,32</v>
      </c>
      <c r="I212" s="125" t="str">
        <f t="shared" si="191"/>
        <v>33 Mar,33</v>
      </c>
      <c r="J212" s="125" t="str">
        <f t="shared" si="191"/>
        <v>34 Mar,34</v>
      </c>
      <c r="K212" s="125" t="str">
        <f t="shared" si="191"/>
        <v>34 Mar,35</v>
      </c>
      <c r="L212" s="125" t="str">
        <f t="shared" si="191"/>
        <v>34 Mar,36</v>
      </c>
      <c r="N212" s="181"/>
    </row>
    <row r="213" spans="1:14" x14ac:dyDescent="0.45">
      <c r="A213" s="102" t="s">
        <v>142</v>
      </c>
      <c r="B213" s="122" t="str">
        <f>B204</f>
        <v>PROVISIONAL</v>
      </c>
      <c r="C213" s="122" t="str">
        <f t="shared" ref="C213:L213" si="192">C204</f>
        <v>PROJECTED</v>
      </c>
      <c r="D213" s="122" t="str">
        <f t="shared" si="192"/>
        <v>PROJECTED</v>
      </c>
      <c r="E213" s="122" t="str">
        <f t="shared" si="192"/>
        <v>PROJECTED</v>
      </c>
      <c r="F213" s="122" t="str">
        <f t="shared" si="192"/>
        <v>PROJECTED</v>
      </c>
      <c r="G213" s="122" t="str">
        <f t="shared" si="192"/>
        <v>PROJECTED</v>
      </c>
      <c r="H213" s="122" t="str">
        <f t="shared" si="192"/>
        <v>PROJECTED</v>
      </c>
      <c r="I213" s="122" t="str">
        <f t="shared" si="192"/>
        <v>PROJECTED</v>
      </c>
      <c r="J213" s="122" t="str">
        <f t="shared" si="192"/>
        <v>PROJECTED</v>
      </c>
      <c r="K213" s="122" t="str">
        <f t="shared" si="192"/>
        <v>PROJECTED</v>
      </c>
      <c r="L213" s="122" t="str">
        <f t="shared" si="192"/>
        <v>PROJECTED</v>
      </c>
      <c r="N213" s="181"/>
    </row>
    <row r="214" spans="1:14" x14ac:dyDescent="0.45">
      <c r="A214" s="68" t="s">
        <v>5</v>
      </c>
      <c r="B214" s="51">
        <v>0</v>
      </c>
      <c r="C214" s="51">
        <f>B218</f>
        <v>0</v>
      </c>
      <c r="D214" s="51">
        <f t="shared" ref="D214:E214" si="193">C218</f>
        <v>13125</v>
      </c>
      <c r="E214" s="51">
        <f t="shared" si="193"/>
        <v>9843.75</v>
      </c>
      <c r="F214" s="51">
        <f>E218</f>
        <v>7382.8125</v>
      </c>
      <c r="G214" s="51">
        <f t="shared" ref="G214:J214" si="194">F218</f>
        <v>5537.109375</v>
      </c>
      <c r="H214" s="51">
        <f t="shared" si="194"/>
        <v>4152.83203125</v>
      </c>
      <c r="I214" s="51">
        <f t="shared" si="194"/>
        <v>3114.6240234375</v>
      </c>
      <c r="J214" s="51">
        <f t="shared" si="194"/>
        <v>2335.968017578125</v>
      </c>
      <c r="K214" s="51">
        <f>J218</f>
        <v>1751.9760131835938</v>
      </c>
      <c r="L214" s="51">
        <f>K218</f>
        <v>1313.9820098876953</v>
      </c>
      <c r="N214" s="170"/>
    </row>
    <row r="215" spans="1:14" x14ac:dyDescent="0.45">
      <c r="A215" s="68" t="s">
        <v>6</v>
      </c>
      <c r="B215" s="103">
        <v>0</v>
      </c>
      <c r="C215" s="103">
        <v>15000</v>
      </c>
      <c r="D215" s="103">
        <v>0</v>
      </c>
      <c r="E215" s="103">
        <v>0</v>
      </c>
      <c r="F215" s="103">
        <v>0</v>
      </c>
      <c r="G215" s="103">
        <v>0</v>
      </c>
      <c r="H215" s="103">
        <v>0</v>
      </c>
      <c r="I215" s="103">
        <v>0</v>
      </c>
      <c r="J215" s="103">
        <v>0</v>
      </c>
      <c r="K215" s="103">
        <v>0</v>
      </c>
      <c r="L215" s="103">
        <v>0</v>
      </c>
      <c r="N215" s="170"/>
    </row>
    <row r="216" spans="1:14" x14ac:dyDescent="0.45">
      <c r="A216" s="68" t="s">
        <v>7</v>
      </c>
      <c r="B216" s="51">
        <f>SUM(B214:B215)</f>
        <v>0</v>
      </c>
      <c r="C216" s="51">
        <f t="shared" ref="C216" si="195">SUM(C214:C215)</f>
        <v>15000</v>
      </c>
      <c r="D216" s="51">
        <f t="shared" ref="D216" si="196">SUM(D214:D215)</f>
        <v>13125</v>
      </c>
      <c r="E216" s="51">
        <f t="shared" ref="E216" si="197">SUM(E214:E215)</f>
        <v>9843.75</v>
      </c>
      <c r="F216" s="51">
        <f t="shared" ref="F216:K216" si="198">SUM(F214:F215)</f>
        <v>7382.8125</v>
      </c>
      <c r="G216" s="51">
        <f t="shared" si="198"/>
        <v>5537.109375</v>
      </c>
      <c r="H216" s="51">
        <f t="shared" si="198"/>
        <v>4152.83203125</v>
      </c>
      <c r="I216" s="51">
        <f t="shared" si="198"/>
        <v>3114.6240234375</v>
      </c>
      <c r="J216" s="51">
        <f t="shared" si="198"/>
        <v>2335.968017578125</v>
      </c>
      <c r="K216" s="51">
        <f t="shared" si="198"/>
        <v>1751.9760131835938</v>
      </c>
      <c r="L216" s="51">
        <f t="shared" ref="L216" si="199">SUM(L214:L215)</f>
        <v>1313.9820098876953</v>
      </c>
      <c r="N216" s="170"/>
    </row>
    <row r="217" spans="1:14" x14ac:dyDescent="0.45">
      <c r="A217" s="68" t="s">
        <v>159</v>
      </c>
      <c r="B217" s="51">
        <f>B216*12.5%</f>
        <v>0</v>
      </c>
      <c r="C217" s="51">
        <f>C214*25%+C215*12.5%</f>
        <v>1875</v>
      </c>
      <c r="D217" s="51">
        <f t="shared" ref="D217:E217" si="200">D216*25%</f>
        <v>3281.25</v>
      </c>
      <c r="E217" s="51">
        <f t="shared" si="200"/>
        <v>2460.9375</v>
      </c>
      <c r="F217" s="51">
        <f>F216*25%</f>
        <v>1845.703125</v>
      </c>
      <c r="G217" s="51">
        <f t="shared" ref="G217:K217" si="201">G216*25%</f>
        <v>1384.27734375</v>
      </c>
      <c r="H217" s="51">
        <f t="shared" si="201"/>
        <v>1038.2080078125</v>
      </c>
      <c r="I217" s="51">
        <f t="shared" si="201"/>
        <v>778.656005859375</v>
      </c>
      <c r="J217" s="51">
        <f t="shared" si="201"/>
        <v>583.99200439453125</v>
      </c>
      <c r="K217" s="51">
        <f t="shared" si="201"/>
        <v>437.99400329589844</v>
      </c>
      <c r="L217" s="51">
        <f t="shared" ref="L217" si="202">L216*25%</f>
        <v>328.49550247192383</v>
      </c>
      <c r="N217" s="170"/>
    </row>
    <row r="218" spans="1:14" x14ac:dyDescent="0.45">
      <c r="A218" s="104" t="s">
        <v>8</v>
      </c>
      <c r="B218" s="105">
        <f>B216-B217</f>
        <v>0</v>
      </c>
      <c r="C218" s="105">
        <f>C216-C217</f>
        <v>13125</v>
      </c>
      <c r="D218" s="105">
        <f>D216-D217</f>
        <v>9843.75</v>
      </c>
      <c r="E218" s="105">
        <f t="shared" ref="E218" si="203">E216-E217</f>
        <v>7382.8125</v>
      </c>
      <c r="F218" s="105">
        <f>F216-F217</f>
        <v>5537.109375</v>
      </c>
      <c r="G218" s="105">
        <f t="shared" ref="G218:K218" si="204">G216-G217</f>
        <v>4152.83203125</v>
      </c>
      <c r="H218" s="105">
        <f t="shared" si="204"/>
        <v>3114.6240234375</v>
      </c>
      <c r="I218" s="105">
        <f t="shared" si="204"/>
        <v>2335.968017578125</v>
      </c>
      <c r="J218" s="105">
        <f t="shared" si="204"/>
        <v>1751.9760131835938</v>
      </c>
      <c r="K218" s="105">
        <f t="shared" si="204"/>
        <v>1313.9820098876953</v>
      </c>
      <c r="L218" s="105">
        <f t="shared" ref="L218" si="205">L216-L217</f>
        <v>985.48650741577148</v>
      </c>
      <c r="N218" s="170"/>
    </row>
    <row r="219" spans="1:14" x14ac:dyDescent="0.4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N219" s="63"/>
    </row>
    <row r="220" spans="1:14" x14ac:dyDescent="0.4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N220" s="63"/>
    </row>
    <row r="221" spans="1:14" x14ac:dyDescent="0.45">
      <c r="A221" s="101" t="s">
        <v>0</v>
      </c>
      <c r="B221" s="125" t="s">
        <v>135</v>
      </c>
      <c r="C221" s="125" t="s">
        <v>122</v>
      </c>
      <c r="D221" s="125" t="s">
        <v>123</v>
      </c>
      <c r="E221" s="125" t="s">
        <v>124</v>
      </c>
      <c r="F221" s="125" t="s">
        <v>125</v>
      </c>
      <c r="G221" s="125" t="str">
        <f>G212</f>
        <v>32 Mar,31</v>
      </c>
      <c r="H221" s="125" t="str">
        <f t="shared" ref="H221:K221" si="206">H212</f>
        <v>33 Mar,32</v>
      </c>
      <c r="I221" s="125" t="str">
        <f t="shared" si="206"/>
        <v>33 Mar,33</v>
      </c>
      <c r="J221" s="125" t="str">
        <f t="shared" si="206"/>
        <v>34 Mar,34</v>
      </c>
      <c r="K221" s="125" t="str">
        <f t="shared" si="206"/>
        <v>34 Mar,35</v>
      </c>
      <c r="L221" s="125" t="str">
        <f t="shared" ref="L221:L222" si="207">L212</f>
        <v>34 Mar,36</v>
      </c>
      <c r="N221" s="181"/>
    </row>
    <row r="222" spans="1:14" x14ac:dyDescent="0.45">
      <c r="A222" s="102" t="s">
        <v>9</v>
      </c>
      <c r="B222" s="122" t="str">
        <f>B213</f>
        <v>PROVISIONAL</v>
      </c>
      <c r="C222" s="122" t="str">
        <f t="shared" ref="C222:K222" si="208">C213</f>
        <v>PROJECTED</v>
      </c>
      <c r="D222" s="122" t="str">
        <f t="shared" si="208"/>
        <v>PROJECTED</v>
      </c>
      <c r="E222" s="122" t="str">
        <f t="shared" si="208"/>
        <v>PROJECTED</v>
      </c>
      <c r="F222" s="122" t="str">
        <f t="shared" si="208"/>
        <v>PROJECTED</v>
      </c>
      <c r="G222" s="122" t="str">
        <f t="shared" si="208"/>
        <v>PROJECTED</v>
      </c>
      <c r="H222" s="122" t="str">
        <f t="shared" si="208"/>
        <v>PROJECTED</v>
      </c>
      <c r="I222" s="122" t="str">
        <f t="shared" si="208"/>
        <v>PROJECTED</v>
      </c>
      <c r="J222" s="122" t="str">
        <f t="shared" si="208"/>
        <v>PROJECTED</v>
      </c>
      <c r="K222" s="122" t="str">
        <f t="shared" si="208"/>
        <v>PROJECTED</v>
      </c>
      <c r="L222" s="122" t="str">
        <f t="shared" si="207"/>
        <v>PROJECTED</v>
      </c>
      <c r="N222" s="181"/>
    </row>
    <row r="223" spans="1:14" x14ac:dyDescent="0.45">
      <c r="A223" s="68" t="s">
        <v>5</v>
      </c>
      <c r="B223" s="97">
        <f>B187+B196+B205+B214</f>
        <v>216828</v>
      </c>
      <c r="C223" s="97">
        <f t="shared" ref="C223:E223" si="209">C187+C196+C205+C214</f>
        <v>184303.8</v>
      </c>
      <c r="D223" s="97">
        <f t="shared" si="209"/>
        <v>397908.23</v>
      </c>
      <c r="E223" s="97">
        <f t="shared" si="209"/>
        <v>332846.99549999996</v>
      </c>
      <c r="F223" s="97">
        <f>F187+F196+F205+F214</f>
        <v>281279.32117499999</v>
      </c>
      <c r="G223" s="97">
        <f t="shared" ref="G223:K223" si="210">G187+G196+G205+G214</f>
        <v>239558.51674875</v>
      </c>
      <c r="H223" s="97">
        <f t="shared" si="210"/>
        <v>205239.46579893748</v>
      </c>
      <c r="I223" s="97">
        <f t="shared" si="210"/>
        <v>283525.35647597187</v>
      </c>
      <c r="J223" s="97">
        <f t="shared" si="210"/>
        <v>243413.5249772323</v>
      </c>
      <c r="K223" s="97">
        <f t="shared" si="210"/>
        <v>209356.77036638965</v>
      </c>
      <c r="L223" s="97">
        <f t="shared" ref="L223" si="211">L187+L196+L205+L214</f>
        <v>180338.00905386286</v>
      </c>
      <c r="N223" s="170"/>
    </row>
    <row r="224" spans="1:14" x14ac:dyDescent="0.45">
      <c r="A224" s="68" t="s">
        <v>6</v>
      </c>
      <c r="B224" s="103">
        <f>B188+B197+B206+B215</f>
        <v>0</v>
      </c>
      <c r="C224" s="106">
        <f t="shared" ref="C224:E224" si="212">C188+C197+C206+C215</f>
        <v>265000</v>
      </c>
      <c r="D224" s="106">
        <f t="shared" si="212"/>
        <v>0</v>
      </c>
      <c r="E224" s="106">
        <f t="shared" si="212"/>
        <v>0</v>
      </c>
      <c r="F224" s="106">
        <f>F188+F197+F206+F215</f>
        <v>0</v>
      </c>
      <c r="G224" s="106">
        <f t="shared" ref="G224:K224" si="213">G188+G197+G206+G215</f>
        <v>0</v>
      </c>
      <c r="H224" s="106">
        <f t="shared" si="213"/>
        <v>125750</v>
      </c>
      <c r="I224" s="106">
        <f t="shared" si="213"/>
        <v>0</v>
      </c>
      <c r="J224" s="106">
        <f t="shared" si="213"/>
        <v>0</v>
      </c>
      <c r="K224" s="106">
        <f t="shared" si="213"/>
        <v>0</v>
      </c>
      <c r="L224" s="106">
        <f t="shared" ref="L224" si="214">L188+L197+L206+L215</f>
        <v>0</v>
      </c>
      <c r="N224" s="170"/>
    </row>
    <row r="225" spans="1:14" x14ac:dyDescent="0.45">
      <c r="A225" s="68" t="s">
        <v>7</v>
      </c>
      <c r="B225" s="51">
        <f>SUM(B223:B224)</f>
        <v>216828</v>
      </c>
      <c r="C225" s="51">
        <f t="shared" ref="C225:E225" si="215">SUM(C223:C224)</f>
        <v>449303.8</v>
      </c>
      <c r="D225" s="51">
        <f t="shared" si="215"/>
        <v>397908.23</v>
      </c>
      <c r="E225" s="51">
        <f t="shared" si="215"/>
        <v>332846.99549999996</v>
      </c>
      <c r="F225" s="51">
        <f>SUM(F223:F224)</f>
        <v>281279.32117499999</v>
      </c>
      <c r="G225" s="51">
        <f t="shared" ref="G225:K225" si="216">SUM(G223:G224)</f>
        <v>239558.51674875</v>
      </c>
      <c r="H225" s="51">
        <f t="shared" si="216"/>
        <v>330989.46579893748</v>
      </c>
      <c r="I225" s="51">
        <f t="shared" si="216"/>
        <v>283525.35647597187</v>
      </c>
      <c r="J225" s="51">
        <f t="shared" si="216"/>
        <v>243413.5249772323</v>
      </c>
      <c r="K225" s="51">
        <f t="shared" si="216"/>
        <v>209356.77036638965</v>
      </c>
      <c r="L225" s="51">
        <f t="shared" ref="L225" si="217">SUM(L223:L224)</f>
        <v>180338.00905386286</v>
      </c>
      <c r="N225" s="170"/>
    </row>
    <row r="226" spans="1:14" x14ac:dyDescent="0.45">
      <c r="A226" s="68" t="s">
        <v>31</v>
      </c>
      <c r="B226" s="51">
        <f>B190+B199+B208+B217</f>
        <v>32524.199999999997</v>
      </c>
      <c r="C226" s="51">
        <f>C190+C199+C208+C217</f>
        <v>51395.569999999992</v>
      </c>
      <c r="D226" s="51">
        <f t="shared" ref="D226:E226" si="218">D190+D199+D208+D217</f>
        <v>65061.234499999999</v>
      </c>
      <c r="E226" s="51">
        <f t="shared" si="218"/>
        <v>51567.674325</v>
      </c>
      <c r="F226" s="51">
        <f>F190+F199+F208+F217</f>
        <v>41720.804426249997</v>
      </c>
      <c r="G226" s="51">
        <f t="shared" ref="G226:K226" si="219">G190+G199+G208+G217</f>
        <v>34319.050949812503</v>
      </c>
      <c r="H226" s="51">
        <f t="shared" si="219"/>
        <v>47464.109322965618</v>
      </c>
      <c r="I226" s="51">
        <f t="shared" si="219"/>
        <v>40111.831498739528</v>
      </c>
      <c r="J226" s="51">
        <f t="shared" si="219"/>
        <v>34056.754610842661</v>
      </c>
      <c r="K226" s="51">
        <f t="shared" si="219"/>
        <v>29018.761312526807</v>
      </c>
      <c r="L226" s="51">
        <f t="shared" ref="L226" si="220">L190+L199+L208+L217</f>
        <v>24794.1620996932</v>
      </c>
      <c r="N226" s="170"/>
    </row>
    <row r="227" spans="1:14" x14ac:dyDescent="0.45">
      <c r="A227" s="104" t="s">
        <v>8</v>
      </c>
      <c r="B227" s="105">
        <f>B225-B226</f>
        <v>184303.8</v>
      </c>
      <c r="C227" s="105">
        <f>C225-C226</f>
        <v>397908.23</v>
      </c>
      <c r="D227" s="105">
        <f t="shared" ref="D227:E227" si="221">D225-D226</f>
        <v>332846.99549999996</v>
      </c>
      <c r="E227" s="105">
        <f t="shared" si="221"/>
        <v>281279.32117499993</v>
      </c>
      <c r="F227" s="105">
        <f>F225-F226</f>
        <v>239558.51674875</v>
      </c>
      <c r="G227" s="105">
        <f t="shared" ref="G227:K227" si="222">G225-G226</f>
        <v>205239.46579893748</v>
      </c>
      <c r="H227" s="105">
        <f t="shared" si="222"/>
        <v>283525.35647597187</v>
      </c>
      <c r="I227" s="105">
        <f t="shared" si="222"/>
        <v>243413.52497723233</v>
      </c>
      <c r="J227" s="105">
        <f t="shared" si="222"/>
        <v>209356.77036638965</v>
      </c>
      <c r="K227" s="105">
        <f t="shared" si="222"/>
        <v>180338.00905386286</v>
      </c>
      <c r="L227" s="105">
        <f t="shared" ref="L227" si="223">L225-L226</f>
        <v>155543.84695416965</v>
      </c>
      <c r="N227" s="170"/>
    </row>
    <row r="228" spans="1:14" x14ac:dyDescent="0.4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N228" s="87"/>
    </row>
    <row r="229" spans="1:14" x14ac:dyDescent="0.45">
      <c r="A229" s="58" t="s">
        <v>36</v>
      </c>
      <c r="B229" s="58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N229" s="107"/>
    </row>
    <row r="230" spans="1:14" ht="63" customHeight="1" x14ac:dyDescent="0.45">
      <c r="A230" s="58" t="s">
        <v>111</v>
      </c>
      <c r="B230" s="59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N230" s="60"/>
    </row>
    <row r="231" spans="1:14" x14ac:dyDescent="0.45">
      <c r="A231" s="58" t="s">
        <v>112</v>
      </c>
      <c r="B231" s="59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N231" s="60"/>
    </row>
    <row r="232" spans="1:14" x14ac:dyDescent="0.45">
      <c r="A232" s="58"/>
      <c r="B232" s="59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N232" s="60"/>
    </row>
  </sheetData>
  <mergeCells count="15">
    <mergeCell ref="A146:C146"/>
    <mergeCell ref="A149:C149"/>
    <mergeCell ref="A180:C180"/>
    <mergeCell ref="A183:C183"/>
    <mergeCell ref="A159:C159"/>
    <mergeCell ref="A169:C169"/>
    <mergeCell ref="A106:C106"/>
    <mergeCell ref="A2:C2"/>
    <mergeCell ref="A4:C4"/>
    <mergeCell ref="A20:C20"/>
    <mergeCell ref="A24:C24"/>
    <mergeCell ref="A27:C27"/>
    <mergeCell ref="A57:C57"/>
    <mergeCell ref="A59:C59"/>
    <mergeCell ref="A104:C104"/>
  </mergeCells>
  <printOptions horizontalCentered="1"/>
  <pageMargins left="0.45866141700000002" right="0.70866141732283505" top="1.9980314960000001" bottom="1.2480314960000001" header="0.31496062992126" footer="0.31496062992126"/>
  <pageSetup paperSize="9" scale="21" orientation="landscape" r:id="rId1"/>
  <rowBreaks count="4" manualBreakCount="4">
    <brk id="55" max="11" man="1"/>
    <brk id="102" max="11" man="1"/>
    <brk id="145" max="11" man="1"/>
    <brk id="179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1048570"/>
  <sheetViews>
    <sheetView view="pageBreakPreview" zoomScale="85" zoomScaleNormal="130" zoomScaleSheetLayoutView="85" workbookViewId="0">
      <selection activeCell="A4" sqref="A4"/>
    </sheetView>
  </sheetViews>
  <sheetFormatPr defaultColWidth="9.140625" defaultRowHeight="12.75" x14ac:dyDescent="0.2"/>
  <cols>
    <col min="1" max="1" width="29.28515625" style="2" customWidth="1"/>
    <col min="2" max="2" width="14.140625" style="2" customWidth="1"/>
    <col min="3" max="12" width="12.7109375" style="2" customWidth="1"/>
    <col min="13" max="13" width="12" style="2" customWidth="1"/>
    <col min="14" max="16384" width="9.140625" style="2"/>
  </cols>
  <sheetData>
    <row r="3" spans="1:12" ht="20.25" x14ac:dyDescent="0.3">
      <c r="A3" s="129" t="str">
        <f>'FINAL REPORT'!A24:C24</f>
        <v>M/S SHREE ENTERPRISES</v>
      </c>
      <c r="B3" s="129"/>
      <c r="C3" s="129"/>
    </row>
    <row r="4" spans="1:12" x14ac:dyDescent="0.2">
      <c r="A4" s="128"/>
      <c r="B4" s="128"/>
      <c r="C4" s="128"/>
    </row>
    <row r="5" spans="1:12" ht="14.25" x14ac:dyDescent="0.2">
      <c r="A5" s="215" t="s">
        <v>82</v>
      </c>
      <c r="B5" s="215"/>
      <c r="C5" s="215"/>
    </row>
    <row r="6" spans="1:12" x14ac:dyDescent="0.2">
      <c r="A6" s="7"/>
      <c r="B6" s="7"/>
      <c r="C6" s="7"/>
    </row>
    <row r="7" spans="1:12" ht="15.75" x14ac:dyDescent="0.25">
      <c r="A7" s="3" t="s">
        <v>0</v>
      </c>
      <c r="B7" s="205" t="str">
        <f>'FINAL REPORT'!B29</f>
        <v>31 Mar,26</v>
      </c>
      <c r="C7" s="205" t="str">
        <f>'FINAL REPORT'!C29</f>
        <v>31 Mar,27</v>
      </c>
      <c r="D7" s="205" t="str">
        <f>'FINAL REPORT'!D29</f>
        <v>31 Mar,28</v>
      </c>
      <c r="E7" s="205" t="str">
        <f>'FINAL REPORT'!E29</f>
        <v>31 Mar,29</v>
      </c>
      <c r="F7" s="205" t="str">
        <f>'FINAL REPORT'!F29</f>
        <v>32 Mar,30</v>
      </c>
      <c r="G7" s="205" t="str">
        <f>'FINAL REPORT'!G29</f>
        <v>32 Mar,31</v>
      </c>
      <c r="H7" s="205" t="str">
        <f>'FINAL REPORT'!H29</f>
        <v>33 Mar,32</v>
      </c>
      <c r="I7" s="205" t="str">
        <f>'FINAL REPORT'!I29</f>
        <v>33 Mar,33</v>
      </c>
      <c r="J7" s="205" t="str">
        <f>'FINAL REPORT'!J29</f>
        <v>34 Mar,34</v>
      </c>
      <c r="K7" s="205" t="str">
        <f>'FINAL REPORT'!K29</f>
        <v>34 Mar,35</v>
      </c>
      <c r="L7" s="205" t="str">
        <f>'FINAL REPORT'!L29</f>
        <v>34 Mar,36</v>
      </c>
    </row>
    <row r="8" spans="1:12" ht="14.25" x14ac:dyDescent="0.2">
      <c r="A8" s="3"/>
      <c r="B8" s="123" t="str">
        <f>'FINAL REPORT'!B30</f>
        <v>PROVISIONAL</v>
      </c>
      <c r="C8" s="123" t="str">
        <f>'FINAL REPORT'!C30</f>
        <v>PROJECTED</v>
      </c>
      <c r="D8" s="123" t="str">
        <f>'FINAL REPORT'!D30</f>
        <v>PROJECTED</v>
      </c>
      <c r="E8" s="123" t="str">
        <f>'FINAL REPORT'!E30</f>
        <v>PROJECTED</v>
      </c>
      <c r="F8" s="123" t="str">
        <f>'FINAL REPORT'!F30</f>
        <v>PROJECTED</v>
      </c>
      <c r="G8" s="123" t="str">
        <f>'FINAL REPORT'!G30</f>
        <v>PROJECTED</v>
      </c>
      <c r="H8" s="123" t="str">
        <f>'FINAL REPORT'!H30</f>
        <v>PROJECTED</v>
      </c>
      <c r="I8" s="123" t="str">
        <f>'FINAL REPORT'!I30</f>
        <v>PROJECTED</v>
      </c>
      <c r="J8" s="123" t="str">
        <f>'FINAL REPORT'!J30</f>
        <v>PROJECTED</v>
      </c>
      <c r="K8" s="123" t="str">
        <f>'FINAL REPORT'!K30</f>
        <v>PROJECTED</v>
      </c>
      <c r="L8" s="123" t="str">
        <f>'FINAL REPORT'!L30</f>
        <v>PROJECTED</v>
      </c>
    </row>
    <row r="9" spans="1:12" ht="15" x14ac:dyDescent="0.25">
      <c r="A9" s="1" t="s">
        <v>50</v>
      </c>
      <c r="B9" s="5">
        <v>925750</v>
      </c>
      <c r="C9" s="5">
        <f>B17</f>
        <v>1991424.6519999998</v>
      </c>
      <c r="D9" s="5">
        <f t="shared" ref="D9:E9" si="0">C17</f>
        <v>3049236.4678322636</v>
      </c>
      <c r="E9" s="5">
        <f t="shared" si="0"/>
        <v>4090301.0830244059</v>
      </c>
      <c r="F9" s="5">
        <f>E17</f>
        <v>5109130.1640039207</v>
      </c>
      <c r="G9" s="5">
        <f t="shared" ref="G9:L9" si="1">F17</f>
        <v>6188598.0859462852</v>
      </c>
      <c r="H9" s="5">
        <f t="shared" si="1"/>
        <v>7364391.4534549518</v>
      </c>
      <c r="I9" s="5">
        <f t="shared" si="1"/>
        <v>8544381.5811489318</v>
      </c>
      <c r="J9" s="5">
        <f t="shared" si="1"/>
        <v>9990722.4965770859</v>
      </c>
      <c r="K9" s="5">
        <f t="shared" si="1"/>
        <v>11631385.556130381</v>
      </c>
      <c r="L9" s="5">
        <f t="shared" si="1"/>
        <v>13556507.65328031</v>
      </c>
    </row>
    <row r="10" spans="1:12" ht="15" x14ac:dyDescent="0.25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" x14ac:dyDescent="0.25">
      <c r="A11" s="1" t="s">
        <v>33</v>
      </c>
      <c r="B11" s="5">
        <f>'FINAL REPORT'!B52</f>
        <v>1857023.652</v>
      </c>
      <c r="C11" s="5">
        <f>'FINAL REPORT'!C52</f>
        <v>2115623.6316645276</v>
      </c>
      <c r="D11" s="5">
        <f>'FINAL REPORT'!D52</f>
        <v>2082129.2303842844</v>
      </c>
      <c r="E11" s="5">
        <f>'FINAL REPORT'!E52</f>
        <v>2037658.1619590311</v>
      </c>
      <c r="F11" s="5">
        <f>'FINAL REPORT'!F52</f>
        <v>2158935.8438847288</v>
      </c>
      <c r="G11" s="5">
        <f>'FINAL REPORT'!G52</f>
        <v>2351586.7350173346</v>
      </c>
      <c r="H11" s="5">
        <f>'FINAL REPORT'!H52</f>
        <v>2949975.3192349505</v>
      </c>
      <c r="I11" s="5">
        <f>'FINAL REPORT'!I52</f>
        <v>3615852.2885703878</v>
      </c>
      <c r="J11" s="5">
        <f>'FINAL REPORT'!J52</f>
        <v>4101657.6488832384</v>
      </c>
      <c r="K11" s="5">
        <f>'FINAL REPORT'!K52</f>
        <v>4812805.2428748216</v>
      </c>
      <c r="L11" s="5">
        <f>'FINAL REPORT'!L52</f>
        <v>5130071.1460818704</v>
      </c>
    </row>
    <row r="12" spans="1:12" ht="15" x14ac:dyDescent="0.25">
      <c r="A12" s="1" t="s">
        <v>110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/>
      <c r="H12" s="5"/>
      <c r="I12" s="5"/>
      <c r="J12" s="5"/>
      <c r="K12" s="5"/>
      <c r="L12" s="5"/>
    </row>
    <row r="13" spans="1:12" ht="15" x14ac:dyDescent="0.25">
      <c r="A13" s="4"/>
      <c r="B13" s="6">
        <f>B9+B11</f>
        <v>2782773.6519999998</v>
      </c>
      <c r="C13" s="6">
        <f t="shared" ref="C13:E13" si="2">C9+C11</f>
        <v>4107048.2836645273</v>
      </c>
      <c r="D13" s="6">
        <f t="shared" si="2"/>
        <v>5131365.6982165482</v>
      </c>
      <c r="E13" s="6">
        <f t="shared" si="2"/>
        <v>6127959.2449834365</v>
      </c>
      <c r="F13" s="6">
        <f>F9+F11</f>
        <v>7268066.0078886496</v>
      </c>
      <c r="G13" s="6">
        <f t="shared" ref="G13:K13" si="3">G9+G11</f>
        <v>8540184.8209636193</v>
      </c>
      <c r="H13" s="6">
        <f t="shared" si="3"/>
        <v>10314366.772689901</v>
      </c>
      <c r="I13" s="6">
        <f t="shared" si="3"/>
        <v>12160233.869719319</v>
      </c>
      <c r="J13" s="6">
        <f t="shared" si="3"/>
        <v>14092380.145460324</v>
      </c>
      <c r="K13" s="6">
        <f t="shared" si="3"/>
        <v>16444190.799005203</v>
      </c>
      <c r="L13" s="6">
        <f t="shared" ref="L13" si="4">L9+L11</f>
        <v>18686578.799362183</v>
      </c>
    </row>
    <row r="14" spans="1:12" ht="15" x14ac:dyDescent="0.25">
      <c r="A14" s="1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</row>
    <row r="15" spans="1:12" ht="13.5" customHeight="1" x14ac:dyDescent="0.25">
      <c r="A15" s="1" t="s">
        <v>51</v>
      </c>
      <c r="B15" s="121">
        <v>791349</v>
      </c>
      <c r="C15" s="121">
        <f>C11*0.5</f>
        <v>1057811.8158322638</v>
      </c>
      <c r="D15" s="121">
        <f>D11*0.5</f>
        <v>1041064.6151921422</v>
      </c>
      <c r="E15" s="121">
        <f>E11*0.5</f>
        <v>1018829.0809795156</v>
      </c>
      <c r="F15" s="121">
        <f>F11*0.5</f>
        <v>1079467.9219423644</v>
      </c>
      <c r="G15" s="121">
        <f t="shared" ref="G15" si="5">G11*0.5</f>
        <v>1175793.3675086673</v>
      </c>
      <c r="H15" s="121">
        <f>H11*0.6</f>
        <v>1769985.1915409702</v>
      </c>
      <c r="I15" s="121">
        <f>I11*0.6</f>
        <v>2169511.3731422327</v>
      </c>
      <c r="J15" s="121">
        <f>J11*0.6</f>
        <v>2460994.5893299431</v>
      </c>
      <c r="K15" s="121">
        <f>K11*0.6</f>
        <v>2887683.1457248931</v>
      </c>
      <c r="L15" s="121">
        <f>L11*0.6</f>
        <v>3078042.687649122</v>
      </c>
    </row>
    <row r="16" spans="1:12" ht="13.5" customHeight="1" x14ac:dyDescent="0.25">
      <c r="A16" s="1"/>
      <c r="B16" s="1"/>
      <c r="C16" s="1"/>
      <c r="D16" s="5"/>
      <c r="E16" s="5"/>
      <c r="F16" s="5"/>
      <c r="G16" s="5"/>
      <c r="H16" s="5"/>
      <c r="I16" s="5"/>
      <c r="J16" s="5"/>
      <c r="K16" s="5"/>
      <c r="L16" s="5"/>
    </row>
    <row r="17" spans="1:12" ht="15.75" thickBot="1" x14ac:dyDescent="0.3">
      <c r="A17" s="9" t="s">
        <v>52</v>
      </c>
      <c r="B17" s="8">
        <f>B13-B15</f>
        <v>1991424.6519999998</v>
      </c>
      <c r="C17" s="8">
        <f t="shared" ref="C17:E17" si="6">C13-C15</f>
        <v>3049236.4678322636</v>
      </c>
      <c r="D17" s="8">
        <f t="shared" si="6"/>
        <v>4090301.0830244059</v>
      </c>
      <c r="E17" s="8">
        <f t="shared" si="6"/>
        <v>5109130.1640039207</v>
      </c>
      <c r="F17" s="8">
        <f>F13-F15</f>
        <v>6188598.0859462852</v>
      </c>
      <c r="G17" s="8">
        <f t="shared" ref="G17:K17" si="7">G13-G15</f>
        <v>7364391.4534549518</v>
      </c>
      <c r="H17" s="8">
        <f t="shared" si="7"/>
        <v>8544381.5811489318</v>
      </c>
      <c r="I17" s="8">
        <f t="shared" si="7"/>
        <v>9990722.4965770859</v>
      </c>
      <c r="J17" s="8">
        <f t="shared" si="7"/>
        <v>11631385.556130381</v>
      </c>
      <c r="K17" s="8">
        <f t="shared" si="7"/>
        <v>13556507.65328031</v>
      </c>
      <c r="L17" s="8">
        <f t="shared" ref="L17" si="8">L13-L15</f>
        <v>15608536.111713061</v>
      </c>
    </row>
    <row r="18" spans="1:12" ht="13.5" thickTop="1" x14ac:dyDescent="0.2">
      <c r="A18" s="7"/>
      <c r="B18" s="7"/>
      <c r="C18" s="7"/>
    </row>
    <row r="19" spans="1:12" x14ac:dyDescent="0.2">
      <c r="A19" s="7"/>
      <c r="B19" s="7"/>
      <c r="C19" s="7"/>
    </row>
    <row r="20" spans="1:12" x14ac:dyDescent="0.2">
      <c r="C20" s="10"/>
    </row>
    <row r="22" spans="1:12" x14ac:dyDescent="0.2">
      <c r="C22" s="10"/>
    </row>
    <row r="1048570" spans="9:9" x14ac:dyDescent="0.2">
      <c r="I1048570" s="2" t="s">
        <v>121</v>
      </c>
    </row>
  </sheetData>
  <mergeCells count="1">
    <mergeCell ref="A5:C5"/>
  </mergeCells>
  <phoneticPr fontId="7" type="noConversion"/>
  <pageMargins left="2.2066929129999999" right="1.799212598" top="1.75" bottom="0.74803149606299202" header="0.31496062992126" footer="0.31496062992126"/>
  <pageSetup paperSize="9"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1"/>
  <sheetViews>
    <sheetView view="pageBreakPreview" topLeftCell="A11" zoomScale="70" zoomScaleSheetLayoutView="70" workbookViewId="0">
      <selection activeCell="A23" sqref="A23:L23"/>
    </sheetView>
  </sheetViews>
  <sheetFormatPr defaultColWidth="9.140625" defaultRowHeight="23.25" x14ac:dyDescent="0.35"/>
  <cols>
    <col min="1" max="1" width="51.5703125" style="32" bestFit="1" customWidth="1"/>
    <col min="2" max="10" width="23.85546875" style="32" bestFit="1" customWidth="1"/>
    <col min="11" max="12" width="23.85546875" style="32" customWidth="1"/>
    <col min="13" max="13" width="17.5703125" style="32" bestFit="1" customWidth="1"/>
    <col min="14" max="16384" width="9.140625" style="32"/>
  </cols>
  <sheetData>
    <row r="2" spans="1:12" x14ac:dyDescent="0.35">
      <c r="A2" s="216" t="str">
        <f>'FINAL REPORT'!A24:C24</f>
        <v>M/S SHREE ENTERPRISES</v>
      </c>
      <c r="B2" s="216"/>
      <c r="C2" s="216"/>
    </row>
    <row r="3" spans="1:12" x14ac:dyDescent="0.35">
      <c r="A3" s="33"/>
    </row>
    <row r="4" spans="1:12" ht="48" customHeight="1" x14ac:dyDescent="0.35">
      <c r="A4" s="217" t="s">
        <v>81</v>
      </c>
      <c r="B4" s="217"/>
      <c r="C4" s="217"/>
    </row>
    <row r="6" spans="1:12" x14ac:dyDescent="0.35">
      <c r="A6" s="34" t="s">
        <v>0</v>
      </c>
      <c r="B6" s="206" t="str">
        <f>'FINAL REPORT'!B29</f>
        <v>31 Mar,26</v>
      </c>
      <c r="C6" s="206" t="str">
        <f>'FINAL REPORT'!C29</f>
        <v>31 Mar,27</v>
      </c>
      <c r="D6" s="206" t="str">
        <f>'FINAL REPORT'!D29</f>
        <v>31 Mar,28</v>
      </c>
      <c r="E6" s="206" t="str">
        <f>'FINAL REPORT'!E29</f>
        <v>31 Mar,29</v>
      </c>
      <c r="F6" s="206" t="str">
        <f>'FINAL REPORT'!F29</f>
        <v>32 Mar,30</v>
      </c>
      <c r="G6" s="206" t="str">
        <f>'FINAL REPORT'!G29</f>
        <v>32 Mar,31</v>
      </c>
      <c r="H6" s="206" t="str">
        <f>'FINAL REPORT'!H29</f>
        <v>33 Mar,32</v>
      </c>
      <c r="I6" s="206" t="str">
        <f>'FINAL REPORT'!I29</f>
        <v>33 Mar,33</v>
      </c>
      <c r="J6" s="206" t="str">
        <f>'FINAL REPORT'!J29</f>
        <v>34 Mar,34</v>
      </c>
      <c r="K6" s="206" t="str">
        <f>'FINAL REPORT'!K29</f>
        <v>34 Mar,35</v>
      </c>
      <c r="L6" s="206" t="str">
        <f>'FINAL REPORT'!L29</f>
        <v>34 Mar,36</v>
      </c>
    </row>
    <row r="7" spans="1:12" x14ac:dyDescent="0.35">
      <c r="A7" s="35"/>
      <c r="B7" s="205" t="str">
        <f>'FINAL REPORT'!B30</f>
        <v>PROVISIONAL</v>
      </c>
      <c r="C7" s="205" t="str">
        <f>'FINAL REPORT'!C30</f>
        <v>PROJECTED</v>
      </c>
      <c r="D7" s="205" t="str">
        <f>'FINAL REPORT'!D30</f>
        <v>PROJECTED</v>
      </c>
      <c r="E7" s="205" t="str">
        <f>'FINAL REPORT'!E30</f>
        <v>PROJECTED</v>
      </c>
      <c r="F7" s="205" t="str">
        <f>'FINAL REPORT'!F30</f>
        <v>PROJECTED</v>
      </c>
      <c r="G7" s="205" t="str">
        <f>'FINAL REPORT'!G30</f>
        <v>PROJECTED</v>
      </c>
      <c r="H7" s="205" t="str">
        <f>'FINAL REPORT'!H30</f>
        <v>PROJECTED</v>
      </c>
      <c r="I7" s="205" t="str">
        <f>'FINAL REPORT'!I30</f>
        <v>PROJECTED</v>
      </c>
      <c r="J7" s="205" t="str">
        <f>'FINAL REPORT'!J30</f>
        <v>PROJECTED</v>
      </c>
      <c r="K7" s="205" t="str">
        <f>'FINAL REPORT'!K30</f>
        <v>PROJECTED</v>
      </c>
      <c r="L7" s="205" t="str">
        <f>'FINAL REPORT'!L30</f>
        <v>PROJECTED</v>
      </c>
    </row>
    <row r="8" spans="1:12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 x14ac:dyDescent="0.35">
      <c r="A9" s="36" t="s">
        <v>80</v>
      </c>
      <c r="B9" s="37">
        <v>12903</v>
      </c>
      <c r="C9" s="37">
        <f>B9*1.1</f>
        <v>14193.300000000001</v>
      </c>
      <c r="D9" s="37">
        <f t="shared" ref="D9:E9" si="0">C9*1.1</f>
        <v>15612.630000000003</v>
      </c>
      <c r="E9" s="37">
        <f t="shared" si="0"/>
        <v>17173.893000000004</v>
      </c>
      <c r="F9" s="37">
        <f t="shared" ref="F9:F22" si="1">E9*1.1</f>
        <v>18891.282300000006</v>
      </c>
      <c r="G9" s="37">
        <f>F9*1.125</f>
        <v>21252.692587500009</v>
      </c>
      <c r="H9" s="37">
        <f t="shared" ref="H9:L9" si="2">G9*1.1</f>
        <v>23377.961846250011</v>
      </c>
      <c r="I9" s="37">
        <f t="shared" si="2"/>
        <v>25715.758030875015</v>
      </c>
      <c r="J9" s="37">
        <f t="shared" si="2"/>
        <v>28287.333833962519</v>
      </c>
      <c r="K9" s="37">
        <f t="shared" si="2"/>
        <v>31116.067217358774</v>
      </c>
      <c r="L9" s="37">
        <f t="shared" si="2"/>
        <v>34227.673939094653</v>
      </c>
    </row>
    <row r="10" spans="1:12" x14ac:dyDescent="0.35">
      <c r="A10" s="36" t="s">
        <v>182</v>
      </c>
      <c r="B10" s="37">
        <v>74214</v>
      </c>
      <c r="C10" s="37">
        <f>B10*1.1</f>
        <v>81635.400000000009</v>
      </c>
      <c r="D10" s="37">
        <f>C10*1.08</f>
        <v>88166.232000000018</v>
      </c>
      <c r="E10" s="37">
        <f t="shared" ref="E10:L10" si="3">D10*1.08</f>
        <v>95219.530560000028</v>
      </c>
      <c r="F10" s="37">
        <f t="shared" si="3"/>
        <v>102837.09300480004</v>
      </c>
      <c r="G10" s="37">
        <f t="shared" si="3"/>
        <v>111064.06044518406</v>
      </c>
      <c r="H10" s="37">
        <f t="shared" si="3"/>
        <v>119949.18528079879</v>
      </c>
      <c r="I10" s="37">
        <f t="shared" si="3"/>
        <v>129545.1201032627</v>
      </c>
      <c r="J10" s="37">
        <f t="shared" si="3"/>
        <v>139908.72971152372</v>
      </c>
      <c r="K10" s="37">
        <f t="shared" si="3"/>
        <v>151101.42808844562</v>
      </c>
      <c r="L10" s="37">
        <f t="shared" si="3"/>
        <v>163189.54233552128</v>
      </c>
    </row>
    <row r="11" spans="1:12" x14ac:dyDescent="0.35">
      <c r="A11" s="36" t="s">
        <v>183</v>
      </c>
      <c r="B11" s="37">
        <f>64005+12500</f>
        <v>76505</v>
      </c>
      <c r="C11" s="37">
        <f>B11*1.15</f>
        <v>87980.75</v>
      </c>
      <c r="D11" s="37">
        <f>C11*1.08</f>
        <v>95019.21</v>
      </c>
      <c r="E11" s="37">
        <f t="shared" ref="E11:L11" si="4">D11*1.08</f>
        <v>102620.74680000001</v>
      </c>
      <c r="F11" s="37">
        <f t="shared" si="4"/>
        <v>110830.40654400001</v>
      </c>
      <c r="G11" s="37">
        <f t="shared" si="4"/>
        <v>119696.83906752002</v>
      </c>
      <c r="H11" s="37">
        <f t="shared" si="4"/>
        <v>129272.58619292163</v>
      </c>
      <c r="I11" s="37">
        <f t="shared" si="4"/>
        <v>139614.39308835537</v>
      </c>
      <c r="J11" s="37">
        <f t="shared" si="4"/>
        <v>150783.5445354238</v>
      </c>
      <c r="K11" s="37">
        <f t="shared" si="4"/>
        <v>162846.22809825771</v>
      </c>
      <c r="L11" s="37">
        <f t="shared" si="4"/>
        <v>175873.92634611833</v>
      </c>
    </row>
    <row r="12" spans="1:12" x14ac:dyDescent="0.35">
      <c r="A12" s="36" t="s">
        <v>126</v>
      </c>
      <c r="B12" s="37">
        <v>25750</v>
      </c>
      <c r="C12" s="37">
        <f t="shared" ref="C12:C22" si="5">B12*1.15</f>
        <v>29612.499999999996</v>
      </c>
      <c r="D12" s="37">
        <f t="shared" ref="D12:E12" si="6">C12*1.1</f>
        <v>32573.75</v>
      </c>
      <c r="E12" s="37">
        <f t="shared" si="6"/>
        <v>35831.125</v>
      </c>
      <c r="F12" s="37">
        <f t="shared" si="1"/>
        <v>39414.237500000003</v>
      </c>
      <c r="G12" s="37">
        <f>F12*1.16</f>
        <v>45720.515500000001</v>
      </c>
      <c r="H12" s="37">
        <f t="shared" ref="H12:L12" si="7">G12*1.1</f>
        <v>50292.567050000005</v>
      </c>
      <c r="I12" s="37">
        <f t="shared" si="7"/>
        <v>55321.823755000012</v>
      </c>
      <c r="J12" s="37">
        <f t="shared" si="7"/>
        <v>60854.00613050002</v>
      </c>
      <c r="K12" s="37">
        <f t="shared" si="7"/>
        <v>66939.406743550033</v>
      </c>
      <c r="L12" s="37">
        <f t="shared" si="7"/>
        <v>73633.347417905039</v>
      </c>
    </row>
    <row r="13" spans="1:12" x14ac:dyDescent="0.35">
      <c r="A13" s="36" t="s">
        <v>186</v>
      </c>
      <c r="B13" s="37">
        <v>13707</v>
      </c>
      <c r="C13" s="37">
        <f t="shared" si="5"/>
        <v>15763.05</v>
      </c>
      <c r="D13" s="37">
        <f>C13*1.08</f>
        <v>17024.094000000001</v>
      </c>
      <c r="E13" s="37">
        <f t="shared" ref="E13:L13" si="8">D13*1.08</f>
        <v>18386.021520000002</v>
      </c>
      <c r="F13" s="37">
        <f t="shared" si="8"/>
        <v>19856.903241600005</v>
      </c>
      <c r="G13" s="37">
        <f t="shared" si="8"/>
        <v>21445.455500928005</v>
      </c>
      <c r="H13" s="37">
        <f t="shared" si="8"/>
        <v>23161.091941002247</v>
      </c>
      <c r="I13" s="37">
        <f t="shared" si="8"/>
        <v>25013.979296282429</v>
      </c>
      <c r="J13" s="37">
        <f t="shared" si="8"/>
        <v>27015.097639985026</v>
      </c>
      <c r="K13" s="37">
        <f t="shared" si="8"/>
        <v>29176.305451183831</v>
      </c>
      <c r="L13" s="37">
        <f t="shared" si="8"/>
        <v>31510.40988727854</v>
      </c>
    </row>
    <row r="14" spans="1:12" x14ac:dyDescent="0.35">
      <c r="A14" s="36" t="s">
        <v>185</v>
      </c>
      <c r="B14" s="37">
        <v>17632</v>
      </c>
      <c r="C14" s="37">
        <f t="shared" si="5"/>
        <v>20276.8</v>
      </c>
      <c r="D14" s="37">
        <f>C14*1.09</f>
        <v>22101.712</v>
      </c>
      <c r="E14" s="37">
        <f t="shared" ref="E14:L14" si="9">D14*1.09</f>
        <v>24090.86608</v>
      </c>
      <c r="F14" s="37">
        <f t="shared" si="9"/>
        <v>26259.044027200001</v>
      </c>
      <c r="G14" s="37">
        <f t="shared" si="9"/>
        <v>28622.357989648004</v>
      </c>
      <c r="H14" s="37">
        <f t="shared" si="9"/>
        <v>31198.370208716326</v>
      </c>
      <c r="I14" s="37">
        <f t="shared" si="9"/>
        <v>34006.223527500799</v>
      </c>
      <c r="J14" s="37">
        <f t="shared" si="9"/>
        <v>37066.783644975876</v>
      </c>
      <c r="K14" s="37">
        <f t="shared" si="9"/>
        <v>40402.794173023707</v>
      </c>
      <c r="L14" s="37">
        <f t="shared" si="9"/>
        <v>44039.045648595842</v>
      </c>
    </row>
    <row r="15" spans="1:12" x14ac:dyDescent="0.35">
      <c r="A15" s="36" t="s">
        <v>184</v>
      </c>
      <c r="B15" s="37">
        <v>117083</v>
      </c>
      <c r="C15" s="37">
        <f t="shared" si="5"/>
        <v>134645.44999999998</v>
      </c>
      <c r="D15" s="37">
        <f>C15*1.08</f>
        <v>145417.08599999998</v>
      </c>
      <c r="E15" s="37">
        <f t="shared" ref="E15:L15" si="10">D15*1.08</f>
        <v>157050.45288</v>
      </c>
      <c r="F15" s="37">
        <f t="shared" si="10"/>
        <v>169614.4891104</v>
      </c>
      <c r="G15" s="37">
        <f t="shared" si="10"/>
        <v>183183.64823923202</v>
      </c>
      <c r="H15" s="37">
        <f t="shared" si="10"/>
        <v>197838.34009837059</v>
      </c>
      <c r="I15" s="37">
        <f t="shared" si="10"/>
        <v>213665.40730624026</v>
      </c>
      <c r="J15" s="37">
        <f t="shared" si="10"/>
        <v>230758.63989073949</v>
      </c>
      <c r="K15" s="37">
        <f t="shared" si="10"/>
        <v>249219.33108199868</v>
      </c>
      <c r="L15" s="37">
        <f t="shared" si="10"/>
        <v>269156.87756855862</v>
      </c>
    </row>
    <row r="16" spans="1:12" x14ac:dyDescent="0.35">
      <c r="A16" s="36" t="s">
        <v>79</v>
      </c>
      <c r="B16" s="37">
        <v>3850</v>
      </c>
      <c r="C16" s="37">
        <f t="shared" si="5"/>
        <v>4427.5</v>
      </c>
      <c r="D16" s="37">
        <f>C16*1.1</f>
        <v>4870.25</v>
      </c>
      <c r="E16" s="37">
        <f t="shared" ref="E16:E17" si="11">D16*1.1</f>
        <v>5357.2750000000005</v>
      </c>
      <c r="F16" s="37">
        <f t="shared" si="1"/>
        <v>5893.0025000000014</v>
      </c>
      <c r="G16" s="37">
        <f>F16*1.18</f>
        <v>6953.7429500000017</v>
      </c>
      <c r="H16" s="37">
        <f t="shared" ref="H16:L16" si="12">G16*1.1</f>
        <v>7649.1172450000022</v>
      </c>
      <c r="I16" s="37">
        <f t="shared" si="12"/>
        <v>8414.0289695000029</v>
      </c>
      <c r="J16" s="37">
        <f t="shared" si="12"/>
        <v>9255.4318664500042</v>
      </c>
      <c r="K16" s="37">
        <f t="shared" si="12"/>
        <v>10180.975053095006</v>
      </c>
      <c r="L16" s="37">
        <f t="shared" si="12"/>
        <v>11199.072558404507</v>
      </c>
    </row>
    <row r="17" spans="1:13" x14ac:dyDescent="0.35">
      <c r="A17" s="36" t="s">
        <v>107</v>
      </c>
      <c r="B17" s="37">
        <v>19235</v>
      </c>
      <c r="C17" s="37">
        <f t="shared" si="5"/>
        <v>22120.25</v>
      </c>
      <c r="D17" s="37">
        <f t="shared" ref="D17" si="13">C17*1.1</f>
        <v>24332.275000000001</v>
      </c>
      <c r="E17" s="37">
        <f t="shared" si="11"/>
        <v>26765.502500000002</v>
      </c>
      <c r="F17" s="37">
        <f t="shared" si="1"/>
        <v>29442.052750000006</v>
      </c>
      <c r="G17" s="37">
        <f>F17*1.19</f>
        <v>35036.042772500005</v>
      </c>
      <c r="H17" s="37">
        <f t="shared" ref="H17:L17" si="14">G17*1.1</f>
        <v>38539.647049750005</v>
      </c>
      <c r="I17" s="37">
        <f t="shared" si="14"/>
        <v>42393.611754725011</v>
      </c>
      <c r="J17" s="37">
        <f t="shared" si="14"/>
        <v>46632.972930197517</v>
      </c>
      <c r="K17" s="37">
        <f t="shared" si="14"/>
        <v>51296.270223217274</v>
      </c>
      <c r="L17" s="37">
        <f t="shared" si="14"/>
        <v>56425.897245539003</v>
      </c>
    </row>
    <row r="18" spans="1:13" x14ac:dyDescent="0.35">
      <c r="A18" s="36" t="s">
        <v>78</v>
      </c>
      <c r="B18" s="37">
        <v>5000</v>
      </c>
      <c r="C18" s="37">
        <f t="shared" si="5"/>
        <v>5750</v>
      </c>
      <c r="D18" s="37">
        <f t="shared" ref="D18:E18" si="15">C18*1.1</f>
        <v>6325.0000000000009</v>
      </c>
      <c r="E18" s="37">
        <f t="shared" si="15"/>
        <v>6957.5000000000018</v>
      </c>
      <c r="F18" s="37">
        <f t="shared" si="1"/>
        <v>7653.2500000000027</v>
      </c>
      <c r="G18" s="37">
        <f>F18*1.18</f>
        <v>9030.8350000000028</v>
      </c>
      <c r="H18" s="37">
        <f t="shared" ref="H18:L18" si="16">G18*1.1</f>
        <v>9933.9185000000034</v>
      </c>
      <c r="I18" s="37">
        <f t="shared" si="16"/>
        <v>10927.310350000005</v>
      </c>
      <c r="J18" s="37">
        <f t="shared" si="16"/>
        <v>12020.041385000006</v>
      </c>
      <c r="K18" s="37">
        <f t="shared" si="16"/>
        <v>13222.045523500008</v>
      </c>
      <c r="L18" s="37">
        <f t="shared" si="16"/>
        <v>14544.25007585001</v>
      </c>
    </row>
    <row r="19" spans="1:13" x14ac:dyDescent="0.35">
      <c r="A19" s="36" t="s">
        <v>108</v>
      </c>
      <c r="B19" s="37">
        <v>80485</v>
      </c>
      <c r="C19" s="37">
        <f t="shared" si="5"/>
        <v>92557.75</v>
      </c>
      <c r="D19" s="37">
        <f>C19*1.1</f>
        <v>101813.52500000001</v>
      </c>
      <c r="E19" s="37">
        <f t="shared" ref="E19" si="17">D19*1.1</f>
        <v>111994.87750000002</v>
      </c>
      <c r="F19" s="37">
        <f t="shared" si="1"/>
        <v>123194.36525000003</v>
      </c>
      <c r="G19" s="37">
        <f>F19*1.17</f>
        <v>144137.40734250002</v>
      </c>
      <c r="H19" s="37">
        <f t="shared" ref="H19:L19" si="18">G19*1.1</f>
        <v>158551.14807675005</v>
      </c>
      <c r="I19" s="37">
        <f t="shared" si="18"/>
        <v>174406.26288442506</v>
      </c>
      <c r="J19" s="37">
        <f t="shared" si="18"/>
        <v>191846.88917286758</v>
      </c>
      <c r="K19" s="37">
        <f t="shared" si="18"/>
        <v>211031.57809015436</v>
      </c>
      <c r="L19" s="37">
        <f t="shared" si="18"/>
        <v>232134.73589916981</v>
      </c>
    </row>
    <row r="20" spans="1:13" x14ac:dyDescent="0.35">
      <c r="A20" s="36" t="s">
        <v>104</v>
      </c>
      <c r="B20" s="37">
        <v>2480</v>
      </c>
      <c r="C20" s="37">
        <f t="shared" si="5"/>
        <v>2852</v>
      </c>
      <c r="D20" s="37">
        <f t="shared" ref="D20:E22" si="19">C20*1.1</f>
        <v>3137.2000000000003</v>
      </c>
      <c r="E20" s="37">
        <f t="shared" si="19"/>
        <v>3450.9200000000005</v>
      </c>
      <c r="F20" s="37">
        <f t="shared" si="1"/>
        <v>3796.0120000000011</v>
      </c>
      <c r="G20" s="37">
        <f>F20*1.15</f>
        <v>4365.4138000000012</v>
      </c>
      <c r="H20" s="37">
        <f t="shared" ref="H20:L20" si="20">G20*1.1</f>
        <v>4801.9551800000017</v>
      </c>
      <c r="I20" s="37">
        <f t="shared" si="20"/>
        <v>5282.1506980000022</v>
      </c>
      <c r="J20" s="37">
        <f t="shared" si="20"/>
        <v>5810.3657678000027</v>
      </c>
      <c r="K20" s="37">
        <f t="shared" si="20"/>
        <v>6391.402344580003</v>
      </c>
      <c r="L20" s="37">
        <f t="shared" si="20"/>
        <v>7030.5425790380041</v>
      </c>
    </row>
    <row r="21" spans="1:13" x14ac:dyDescent="0.35">
      <c r="A21" s="36" t="s">
        <v>137</v>
      </c>
      <c r="B21" s="37">
        <v>11517</v>
      </c>
      <c r="C21" s="37">
        <f t="shared" si="5"/>
        <v>13244.55</v>
      </c>
      <c r="D21" s="37">
        <f t="shared" ref="D21:L21" si="21">C21*1.05</f>
        <v>13906.7775</v>
      </c>
      <c r="E21" s="37">
        <f t="shared" si="21"/>
        <v>14602.116375000001</v>
      </c>
      <c r="F21" s="37">
        <f t="shared" si="21"/>
        <v>15332.222193750002</v>
      </c>
      <c r="G21" s="37">
        <f t="shared" si="21"/>
        <v>16098.833303437503</v>
      </c>
      <c r="H21" s="37">
        <f t="shared" si="21"/>
        <v>16903.774968609378</v>
      </c>
      <c r="I21" s="37">
        <f t="shared" si="21"/>
        <v>17748.963717039846</v>
      </c>
      <c r="J21" s="37">
        <f t="shared" si="21"/>
        <v>18636.411902891839</v>
      </c>
      <c r="K21" s="37">
        <f t="shared" si="21"/>
        <v>19568.232498036432</v>
      </c>
      <c r="L21" s="37">
        <f t="shared" si="21"/>
        <v>20546.644122938254</v>
      </c>
    </row>
    <row r="22" spans="1:13" x14ac:dyDescent="0.35">
      <c r="A22" s="36" t="s">
        <v>109</v>
      </c>
      <c r="B22" s="37">
        <v>1952694</v>
      </c>
      <c r="C22" s="37">
        <f t="shared" si="5"/>
        <v>2245598.0999999996</v>
      </c>
      <c r="D22" s="37">
        <f t="shared" ref="D22" si="22">C22*1.1</f>
        <v>2470157.9099999997</v>
      </c>
      <c r="E22" s="37">
        <f t="shared" si="19"/>
        <v>2717173.7009999999</v>
      </c>
      <c r="F22" s="37">
        <f t="shared" si="1"/>
        <v>2988891.0711000003</v>
      </c>
      <c r="G22" s="37">
        <f>F22*1.18</f>
        <v>3526891.4638980003</v>
      </c>
      <c r="H22" s="37">
        <f t="shared" ref="H22:L22" si="23">G22*1.1</f>
        <v>3879580.6102878004</v>
      </c>
      <c r="I22" s="37">
        <f t="shared" si="23"/>
        <v>4267538.6713165808</v>
      </c>
      <c r="J22" s="37">
        <f t="shared" si="23"/>
        <v>4694292.5384482397</v>
      </c>
      <c r="K22" s="37">
        <f t="shared" si="23"/>
        <v>5163721.7922930643</v>
      </c>
      <c r="L22" s="37">
        <f t="shared" si="23"/>
        <v>5680093.9715223713</v>
      </c>
    </row>
    <row r="23" spans="1:13" x14ac:dyDescent="0.35">
      <c r="A23" s="38"/>
      <c r="B23" s="200">
        <f t="shared" ref="B23:L23" si="24">SUM(B9:B22)</f>
        <v>2413055</v>
      </c>
      <c r="C23" s="200">
        <f t="shared" si="24"/>
        <v>2770657.3999999994</v>
      </c>
      <c r="D23" s="200">
        <f t="shared" si="24"/>
        <v>3040457.6514999997</v>
      </c>
      <c r="E23" s="200">
        <f t="shared" si="24"/>
        <v>3336674.5282149999</v>
      </c>
      <c r="F23" s="200">
        <f t="shared" si="24"/>
        <v>3661905.4315217505</v>
      </c>
      <c r="G23" s="200">
        <f t="shared" si="24"/>
        <v>4273499.3083964493</v>
      </c>
      <c r="H23" s="200">
        <f t="shared" si="24"/>
        <v>4691050.2739259694</v>
      </c>
      <c r="I23" s="200">
        <f t="shared" si="24"/>
        <v>5149593.7047977876</v>
      </c>
      <c r="J23" s="200">
        <f t="shared" si="24"/>
        <v>5653168.7868605573</v>
      </c>
      <c r="K23" s="200">
        <f t="shared" si="24"/>
        <v>6206213.8568794653</v>
      </c>
      <c r="L23" s="200">
        <f t="shared" si="24"/>
        <v>6813605.9371463833</v>
      </c>
    </row>
    <row r="24" spans="1:13" x14ac:dyDescent="0.35">
      <c r="A24" s="209"/>
      <c r="B24" s="209"/>
      <c r="C24" s="204"/>
      <c r="D24" s="204"/>
      <c r="E24" s="204"/>
      <c r="F24" s="204"/>
      <c r="G24" s="204"/>
      <c r="H24" s="204"/>
      <c r="I24" s="204"/>
      <c r="J24" s="204"/>
      <c r="K24" s="204"/>
      <c r="L24" s="204"/>
    </row>
    <row r="25" spans="1:13" x14ac:dyDescent="0.35"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31" spans="1:13" x14ac:dyDescent="0.35">
      <c r="B31" s="39"/>
      <c r="C31" s="39"/>
    </row>
  </sheetData>
  <mergeCells count="2">
    <mergeCell ref="A2:C2"/>
    <mergeCell ref="A4:C4"/>
  </mergeCells>
  <pageMargins left="0.7" right="0.7" top="0.75" bottom="0.75" header="0.3" footer="0.3"/>
  <pageSetup paperSize="9" scale="40" orientation="landscape" r:id="rId1"/>
  <ignoredErrors>
    <ignoredError sqref="G16:G20 G22 G9 G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8"/>
  <sheetViews>
    <sheetView zoomScaleNormal="100" workbookViewId="0">
      <selection activeCell="N32" sqref="N32"/>
    </sheetView>
  </sheetViews>
  <sheetFormatPr defaultRowHeight="12.75" x14ac:dyDescent="0.2"/>
  <cols>
    <col min="1" max="1" width="1" style="130" customWidth="1"/>
    <col min="2" max="2" width="9.140625" style="130"/>
    <col min="3" max="3" width="14.85546875" style="130" customWidth="1"/>
    <col min="4" max="4" width="18.7109375" style="130" customWidth="1"/>
    <col min="5" max="5" width="11.7109375" style="130" customWidth="1"/>
    <col min="6" max="6" width="11.28515625" style="130" customWidth="1"/>
    <col min="7" max="7" width="0" style="130" hidden="1" customWidth="1"/>
    <col min="8" max="8" width="0.7109375" style="130" hidden="1" customWidth="1"/>
    <col min="9" max="9" width="11.28515625" style="130" hidden="1" customWidth="1"/>
    <col min="10" max="10" width="0" style="130" hidden="1" customWidth="1"/>
    <col min="11" max="11" width="11.85546875" style="130" hidden="1" customWidth="1"/>
    <col min="12" max="16384" width="9.140625" style="130"/>
  </cols>
  <sheetData>
    <row r="2" spans="2:11" x14ac:dyDescent="0.2">
      <c r="B2" s="225" t="s">
        <v>143</v>
      </c>
      <c r="C2" s="226"/>
      <c r="D2" s="226"/>
      <c r="E2" s="226"/>
      <c r="F2" s="226"/>
      <c r="G2" s="227"/>
      <c r="I2" s="228" t="s">
        <v>144</v>
      </c>
      <c r="J2" s="229"/>
      <c r="K2" s="230"/>
    </row>
    <row r="3" spans="2:11" ht="3.75" customHeight="1" x14ac:dyDescent="0.2"/>
    <row r="4" spans="2:11" ht="21.75" customHeight="1" x14ac:dyDescent="0.2">
      <c r="B4" s="218" t="s">
        <v>145</v>
      </c>
      <c r="C4" s="219"/>
      <c r="D4" s="131">
        <v>4000000</v>
      </c>
      <c r="F4" s="132" t="s">
        <v>146</v>
      </c>
      <c r="I4" s="231" t="s">
        <v>147</v>
      </c>
      <c r="J4" s="232"/>
      <c r="K4" s="233"/>
    </row>
    <row r="5" spans="2:11" ht="3.75" customHeight="1" x14ac:dyDescent="0.2">
      <c r="B5" s="133"/>
      <c r="C5" s="133"/>
      <c r="D5" s="11"/>
      <c r="F5" s="134"/>
      <c r="I5" s="234"/>
      <c r="J5" s="235"/>
      <c r="K5" s="236"/>
    </row>
    <row r="6" spans="2:11" ht="39" customHeight="1" x14ac:dyDescent="0.2">
      <c r="B6" s="223" t="s">
        <v>148</v>
      </c>
      <c r="C6" s="224"/>
      <c r="D6" s="135">
        <v>8.5999999999999993E-2</v>
      </c>
      <c r="F6" s="136" t="s">
        <v>146</v>
      </c>
      <c r="I6" s="237"/>
      <c r="J6" s="238"/>
      <c r="K6" s="239"/>
    </row>
    <row r="7" spans="2:11" ht="2.25" customHeight="1" x14ac:dyDescent="0.2">
      <c r="B7" s="137"/>
      <c r="C7" s="137"/>
      <c r="D7" s="138"/>
      <c r="F7" s="134"/>
    </row>
    <row r="8" spans="2:11" ht="37.5" customHeight="1" x14ac:dyDescent="0.2">
      <c r="B8" s="223" t="s">
        <v>149</v>
      </c>
      <c r="C8" s="224"/>
      <c r="D8" s="139">
        <f>D6/12</f>
        <v>7.1666666666666658E-3</v>
      </c>
      <c r="F8" s="134"/>
    </row>
    <row r="9" spans="2:11" ht="3" customHeight="1" x14ac:dyDescent="0.2">
      <c r="B9" s="137"/>
      <c r="C9" s="137"/>
      <c r="D9" s="140"/>
      <c r="F9" s="134"/>
    </row>
    <row r="10" spans="2:11" ht="18.75" customHeight="1" x14ac:dyDescent="0.2">
      <c r="B10" s="218" t="s">
        <v>150</v>
      </c>
      <c r="C10" s="219"/>
      <c r="D10" s="141">
        <v>120</v>
      </c>
      <c r="F10" s="136" t="s">
        <v>146</v>
      </c>
    </row>
    <row r="11" spans="2:11" ht="3" customHeight="1" x14ac:dyDescent="0.2">
      <c r="B11" s="133"/>
      <c r="C11" s="133"/>
      <c r="D11" s="11">
        <v>62</v>
      </c>
      <c r="F11" s="2"/>
    </row>
    <row r="12" spans="2:11" x14ac:dyDescent="0.2">
      <c r="B12" s="218" t="s">
        <v>151</v>
      </c>
      <c r="C12" s="219"/>
      <c r="D12" s="142">
        <f>-PMT(D8,D10,D4)</f>
        <v>49808.462307964837</v>
      </c>
      <c r="E12" s="143"/>
      <c r="F12" s="2"/>
    </row>
    <row r="13" spans="2:11" x14ac:dyDescent="0.2">
      <c r="B13" s="144"/>
      <c r="C13" s="144"/>
      <c r="D13" s="145"/>
      <c r="E13" s="143"/>
    </row>
    <row r="14" spans="2:11" x14ac:dyDescent="0.2">
      <c r="B14" s="220" t="s">
        <v>152</v>
      </c>
      <c r="C14" s="221"/>
      <c r="D14" s="221"/>
      <c r="E14" s="221"/>
      <c r="F14" s="222"/>
    </row>
    <row r="15" spans="2:11" ht="5.25" customHeight="1" x14ac:dyDescent="0.2">
      <c r="B15" s="2"/>
      <c r="C15" s="2"/>
      <c r="D15" s="2"/>
      <c r="E15" s="2"/>
      <c r="F15" s="2"/>
    </row>
    <row r="16" spans="2:11" ht="38.25" x14ac:dyDescent="0.2">
      <c r="B16" s="146" t="s">
        <v>153</v>
      </c>
      <c r="C16" s="147" t="s">
        <v>151</v>
      </c>
      <c r="D16" s="147" t="s">
        <v>154</v>
      </c>
      <c r="E16" s="147" t="s">
        <v>155</v>
      </c>
      <c r="F16" s="147" t="s">
        <v>156</v>
      </c>
      <c r="I16" s="148"/>
      <c r="J16" s="130" t="s">
        <v>188</v>
      </c>
    </row>
    <row r="17" spans="2:11" x14ac:dyDescent="0.2">
      <c r="B17" s="192">
        <v>0</v>
      </c>
      <c r="C17" s="193"/>
      <c r="D17" s="193"/>
      <c r="E17" s="193"/>
      <c r="F17" s="194">
        <f>D4</f>
        <v>4000000</v>
      </c>
    </row>
    <row r="18" spans="2:11" x14ac:dyDescent="0.2">
      <c r="B18" s="192">
        <v>1</v>
      </c>
      <c r="C18" s="195">
        <f>D12</f>
        <v>49808.462307964837</v>
      </c>
      <c r="D18" s="196">
        <f>F17*D8</f>
        <v>28666.666666666664</v>
      </c>
      <c r="E18" s="196">
        <f>C18-D18</f>
        <v>21141.795641298173</v>
      </c>
      <c r="F18" s="196">
        <f>F17-E18</f>
        <v>3978858.2043587016</v>
      </c>
    </row>
    <row r="19" spans="2:11" x14ac:dyDescent="0.2">
      <c r="B19" s="192">
        <v>2</v>
      </c>
      <c r="C19" s="195">
        <f>D12</f>
        <v>49808.462307964837</v>
      </c>
      <c r="D19" s="196">
        <f>F18*D8</f>
        <v>28515.150464570692</v>
      </c>
      <c r="E19" s="196">
        <f>C19-D19</f>
        <v>21293.311843394145</v>
      </c>
      <c r="F19" s="196">
        <f>F18-E19</f>
        <v>3957564.8925153073</v>
      </c>
    </row>
    <row r="20" spans="2:11" x14ac:dyDescent="0.2">
      <c r="B20" s="192">
        <v>3</v>
      </c>
      <c r="C20" s="195">
        <f>D12</f>
        <v>49808.462307964837</v>
      </c>
      <c r="D20" s="196">
        <f>F19*D8</f>
        <v>28362.5483963597</v>
      </c>
      <c r="E20" s="196">
        <f>C20-D20</f>
        <v>21445.913911605137</v>
      </c>
      <c r="F20" s="196">
        <f>F19-E20</f>
        <v>3936118.978603702</v>
      </c>
    </row>
    <row r="21" spans="2:11" x14ac:dyDescent="0.2">
      <c r="B21" s="192">
        <v>4</v>
      </c>
      <c r="C21" s="195">
        <f>D12</f>
        <v>49808.462307964837</v>
      </c>
      <c r="D21" s="196">
        <f>F20*D8</f>
        <v>28208.852679993193</v>
      </c>
      <c r="E21" s="196">
        <f t="shared" ref="E21:E28" si="0">C21-D21</f>
        <v>21599.609627971644</v>
      </c>
      <c r="F21" s="196">
        <f t="shared" ref="F21:F28" si="1">F20-E21</f>
        <v>3914519.3689757306</v>
      </c>
    </row>
    <row r="22" spans="2:11" x14ac:dyDescent="0.2">
      <c r="B22" s="192">
        <v>5</v>
      </c>
      <c r="C22" s="195">
        <f>D12</f>
        <v>49808.462307964837</v>
      </c>
      <c r="D22" s="196">
        <f>F21*D8</f>
        <v>28054.0554776594</v>
      </c>
      <c r="E22" s="196">
        <f t="shared" si="0"/>
        <v>21754.406830305437</v>
      </c>
      <c r="F22" s="196">
        <f t="shared" si="1"/>
        <v>3892764.9621454254</v>
      </c>
    </row>
    <row r="23" spans="2:11" x14ac:dyDescent="0.2">
      <c r="B23" s="192">
        <v>6</v>
      </c>
      <c r="C23" s="195">
        <f>D12</f>
        <v>49808.462307964837</v>
      </c>
      <c r="D23" s="196">
        <f>F22*D8</f>
        <v>27898.148895375547</v>
      </c>
      <c r="E23" s="196">
        <f t="shared" si="0"/>
        <v>21910.31341258929</v>
      </c>
      <c r="F23" s="157">
        <f t="shared" si="1"/>
        <v>3870854.6487328359</v>
      </c>
      <c r="G23" s="178"/>
      <c r="H23" s="178"/>
      <c r="I23" s="178"/>
      <c r="J23" s="179">
        <f>SUM(D18:D23)</f>
        <v>169705.42258062519</v>
      </c>
      <c r="K23" s="208">
        <v>46447</v>
      </c>
    </row>
    <row r="24" spans="2:11" x14ac:dyDescent="0.2">
      <c r="B24" s="192">
        <v>7</v>
      </c>
      <c r="C24" s="195">
        <f>D12</f>
        <v>49808.462307964837</v>
      </c>
      <c r="D24" s="196">
        <f>F23*D8</f>
        <v>27741.124982585319</v>
      </c>
      <c r="E24" s="196">
        <f t="shared" si="0"/>
        <v>22067.337325379518</v>
      </c>
      <c r="F24" s="196">
        <f t="shared" si="1"/>
        <v>3848787.3114074562</v>
      </c>
    </row>
    <row r="25" spans="2:11" x14ac:dyDescent="0.2">
      <c r="B25" s="192">
        <v>8</v>
      </c>
      <c r="C25" s="195">
        <f>D12</f>
        <v>49808.462307964837</v>
      </c>
      <c r="D25" s="196">
        <f>F24*D8</f>
        <v>27582.975731753431</v>
      </c>
      <c r="E25" s="196">
        <f t="shared" si="0"/>
        <v>22225.486576211406</v>
      </c>
      <c r="F25" s="196">
        <f t="shared" si="1"/>
        <v>3826561.8248312445</v>
      </c>
    </row>
    <row r="26" spans="2:11" x14ac:dyDescent="0.2">
      <c r="B26" s="192">
        <v>9</v>
      </c>
      <c r="C26" s="195">
        <f>D12</f>
        <v>49808.462307964837</v>
      </c>
      <c r="D26" s="196">
        <f>F25*D8</f>
        <v>27423.69307795725</v>
      </c>
      <c r="E26" s="196">
        <f t="shared" si="0"/>
        <v>22384.769230007587</v>
      </c>
      <c r="F26" s="196">
        <f t="shared" si="1"/>
        <v>3804177.0556012369</v>
      </c>
    </row>
    <row r="27" spans="2:11" x14ac:dyDescent="0.2">
      <c r="B27" s="192">
        <v>10</v>
      </c>
      <c r="C27" s="195">
        <f>D12</f>
        <v>49808.462307964837</v>
      </c>
      <c r="D27" s="196">
        <f>F26*D8</f>
        <v>27263.268898475526</v>
      </c>
      <c r="E27" s="196">
        <f t="shared" si="0"/>
        <v>22545.193409489311</v>
      </c>
      <c r="F27" s="196">
        <f t="shared" si="1"/>
        <v>3781631.8621917474</v>
      </c>
    </row>
    <row r="28" spans="2:11" x14ac:dyDescent="0.2">
      <c r="B28" s="192">
        <v>11</v>
      </c>
      <c r="C28" s="195">
        <f>D12</f>
        <v>49808.462307964837</v>
      </c>
      <c r="D28" s="196">
        <f>F27*D8</f>
        <v>27101.695012374188</v>
      </c>
      <c r="E28" s="196">
        <f t="shared" si="0"/>
        <v>22706.767295590649</v>
      </c>
      <c r="F28" s="196">
        <f t="shared" si="1"/>
        <v>3758925.0948961568</v>
      </c>
    </row>
    <row r="29" spans="2:11" x14ac:dyDescent="0.2">
      <c r="B29" s="192">
        <v>12</v>
      </c>
      <c r="C29" s="195">
        <f>D12</f>
        <v>49808.462307964837</v>
      </c>
      <c r="D29" s="196">
        <f>F28*D8</f>
        <v>26938.963180089122</v>
      </c>
      <c r="E29" s="196">
        <f>C29-D29</f>
        <v>22869.499127875715</v>
      </c>
      <c r="F29" s="196">
        <f>F28-E29</f>
        <v>3736055.5957682813</v>
      </c>
      <c r="G29" s="130">
        <v>1</v>
      </c>
      <c r="I29" s="130">
        <f>SUM(D18:D29)</f>
        <v>333757.14346386003</v>
      </c>
    </row>
    <row r="30" spans="2:11" x14ac:dyDescent="0.2">
      <c r="B30" s="192">
        <v>13</v>
      </c>
      <c r="C30" s="195">
        <f>D12</f>
        <v>49808.462307964837</v>
      </c>
      <c r="D30" s="196">
        <f>F29*D8</f>
        <v>26775.065103006011</v>
      </c>
      <c r="E30" s="196">
        <f t="shared" ref="E30:E77" si="2">C30-D30</f>
        <v>23033.397204958826</v>
      </c>
      <c r="F30" s="196">
        <f t="shared" ref="F30:F77" si="3">F29-E30</f>
        <v>3713022.1985633224</v>
      </c>
    </row>
    <row r="31" spans="2:11" x14ac:dyDescent="0.2">
      <c r="B31" s="192">
        <v>14</v>
      </c>
      <c r="C31" s="195">
        <f>D12</f>
        <v>49808.462307964837</v>
      </c>
      <c r="D31" s="196">
        <f>F30*D8</f>
        <v>26609.99242303714</v>
      </c>
      <c r="E31" s="196">
        <f t="shared" si="2"/>
        <v>23198.469884927697</v>
      </c>
      <c r="F31" s="196">
        <f t="shared" si="3"/>
        <v>3689823.7286783946</v>
      </c>
    </row>
    <row r="32" spans="2:11" x14ac:dyDescent="0.2">
      <c r="B32" s="192">
        <v>15</v>
      </c>
      <c r="C32" s="195">
        <f>D12</f>
        <v>49808.462307964837</v>
      </c>
      <c r="D32" s="196">
        <f>F31*D8</f>
        <v>26443.736722195157</v>
      </c>
      <c r="E32" s="196">
        <f t="shared" si="2"/>
        <v>23364.72558576968</v>
      </c>
      <c r="F32" s="196">
        <f t="shared" si="3"/>
        <v>3666459.0030926247</v>
      </c>
    </row>
    <row r="33" spans="2:11" x14ac:dyDescent="0.2">
      <c r="B33" s="192">
        <v>16</v>
      </c>
      <c r="C33" s="195">
        <f>D12</f>
        <v>49808.462307964837</v>
      </c>
      <c r="D33" s="196">
        <f>F32*D8</f>
        <v>26276.289522163806</v>
      </c>
      <c r="E33" s="196">
        <f t="shared" si="2"/>
        <v>23532.172785801031</v>
      </c>
      <c r="F33" s="196">
        <f t="shared" si="3"/>
        <v>3642926.8303068238</v>
      </c>
    </row>
    <row r="34" spans="2:11" x14ac:dyDescent="0.2">
      <c r="B34" s="192">
        <v>17</v>
      </c>
      <c r="C34" s="195">
        <f>D12</f>
        <v>49808.462307964837</v>
      </c>
      <c r="D34" s="196">
        <f>F33*D8</f>
        <v>26107.642283865567</v>
      </c>
      <c r="E34" s="196">
        <f t="shared" si="2"/>
        <v>23700.82002409927</v>
      </c>
      <c r="F34" s="196">
        <f t="shared" si="3"/>
        <v>3619226.0102827246</v>
      </c>
    </row>
    <row r="35" spans="2:11" x14ac:dyDescent="0.2">
      <c r="B35" s="192">
        <v>18</v>
      </c>
      <c r="C35" s="195">
        <f>D12</f>
        <v>49808.462307964837</v>
      </c>
      <c r="D35" s="196">
        <f>F34*D8</f>
        <v>25937.786407026189</v>
      </c>
      <c r="E35" s="196">
        <f t="shared" si="2"/>
        <v>23870.675900938648</v>
      </c>
      <c r="F35" s="157">
        <f t="shared" si="3"/>
        <v>3595355.3343817862</v>
      </c>
      <c r="G35" s="178"/>
      <c r="H35" s="178"/>
      <c r="I35" s="178"/>
      <c r="J35" s="179">
        <f>SUM(D24:D35)</f>
        <v>322202.23334452865</v>
      </c>
      <c r="K35" s="208">
        <v>46813</v>
      </c>
    </row>
    <row r="36" spans="2:11" x14ac:dyDescent="0.2">
      <c r="B36" s="192">
        <v>19</v>
      </c>
      <c r="C36" s="195">
        <f>D12</f>
        <v>49808.462307964837</v>
      </c>
      <c r="D36" s="196">
        <f>F35*D8</f>
        <v>25766.713229736131</v>
      </c>
      <c r="E36" s="196">
        <f t="shared" si="2"/>
        <v>24041.749078228706</v>
      </c>
      <c r="F36" s="196">
        <f t="shared" si="3"/>
        <v>3571313.5853035576</v>
      </c>
    </row>
    <row r="37" spans="2:11" x14ac:dyDescent="0.2">
      <c r="B37" s="192">
        <v>20</v>
      </c>
      <c r="C37" s="195">
        <f>D12</f>
        <v>49808.462307964837</v>
      </c>
      <c r="D37" s="196">
        <f>F36*D8</f>
        <v>25594.414028008825</v>
      </c>
      <c r="E37" s="196">
        <f t="shared" si="2"/>
        <v>24214.048279956012</v>
      </c>
      <c r="F37" s="196">
        <f t="shared" si="3"/>
        <v>3547099.5370236016</v>
      </c>
    </row>
    <row r="38" spans="2:11" x14ac:dyDescent="0.2">
      <c r="B38" s="192">
        <v>21</v>
      </c>
      <c r="C38" s="195">
        <f>D12</f>
        <v>49808.462307964837</v>
      </c>
      <c r="D38" s="196">
        <f>F37*D8</f>
        <v>25420.88001533581</v>
      </c>
      <c r="E38" s="196">
        <f t="shared" si="2"/>
        <v>24387.582292629028</v>
      </c>
      <c r="F38" s="196">
        <f t="shared" si="3"/>
        <v>3522711.9547309726</v>
      </c>
    </row>
    <row r="39" spans="2:11" x14ac:dyDescent="0.2">
      <c r="B39" s="192">
        <v>22</v>
      </c>
      <c r="C39" s="195">
        <f>D12</f>
        <v>49808.462307964837</v>
      </c>
      <c r="D39" s="196">
        <f>F38*D8</f>
        <v>25246.102342238635</v>
      </c>
      <c r="E39" s="196">
        <f t="shared" si="2"/>
        <v>24562.359965726202</v>
      </c>
      <c r="F39" s="196">
        <f t="shared" si="3"/>
        <v>3498149.5947652464</v>
      </c>
    </row>
    <row r="40" spans="2:11" x14ac:dyDescent="0.2">
      <c r="B40" s="192">
        <v>23</v>
      </c>
      <c r="C40" s="195">
        <f>D12</f>
        <v>49808.462307964837</v>
      </c>
      <c r="D40" s="196">
        <f>F39*D8</f>
        <v>25070.072095817595</v>
      </c>
      <c r="E40" s="196">
        <f t="shared" si="2"/>
        <v>24738.390212147242</v>
      </c>
      <c r="F40" s="196">
        <f t="shared" si="3"/>
        <v>3473411.2045530993</v>
      </c>
    </row>
    <row r="41" spans="2:11" x14ac:dyDescent="0.2">
      <c r="B41" s="192">
        <v>24</v>
      </c>
      <c r="C41" s="195">
        <f>D12</f>
        <v>49808.462307964837</v>
      </c>
      <c r="D41" s="196">
        <f>F40*D8</f>
        <v>24892.78029929721</v>
      </c>
      <c r="E41" s="196">
        <f t="shared" si="2"/>
        <v>24915.682008667627</v>
      </c>
      <c r="F41" s="196">
        <f t="shared" si="3"/>
        <v>3448495.5225444315</v>
      </c>
      <c r="G41" s="130">
        <v>2</v>
      </c>
      <c r="I41" s="130">
        <f>SUM(D30:D41)</f>
        <v>310141.47447172803</v>
      </c>
    </row>
    <row r="42" spans="2:11" x14ac:dyDescent="0.2">
      <c r="B42" s="192">
        <v>25</v>
      </c>
      <c r="C42" s="195">
        <f>D12</f>
        <v>49808.462307964837</v>
      </c>
      <c r="D42" s="196">
        <f>F41*D8</f>
        <v>24714.217911568423</v>
      </c>
      <c r="E42" s="196">
        <f t="shared" si="2"/>
        <v>25094.244396396414</v>
      </c>
      <c r="F42" s="196">
        <f t="shared" si="3"/>
        <v>3423401.2781480351</v>
      </c>
    </row>
    <row r="43" spans="2:11" x14ac:dyDescent="0.2">
      <c r="B43" s="192">
        <v>26</v>
      </c>
      <c r="C43" s="195">
        <f>D12</f>
        <v>49808.462307964837</v>
      </c>
      <c r="D43" s="196">
        <f>F42*D8</f>
        <v>24534.375826727581</v>
      </c>
      <c r="E43" s="196">
        <f t="shared" si="2"/>
        <v>25274.086481237257</v>
      </c>
      <c r="F43" s="196">
        <f t="shared" si="3"/>
        <v>3398127.1916667977</v>
      </c>
    </row>
    <row r="44" spans="2:11" x14ac:dyDescent="0.2">
      <c r="B44" s="192">
        <v>27</v>
      </c>
      <c r="C44" s="195">
        <f>D12</f>
        <v>49808.462307964837</v>
      </c>
      <c r="D44" s="196">
        <f>F43*D8</f>
        <v>24353.244873612046</v>
      </c>
      <c r="E44" s="196">
        <f t="shared" si="2"/>
        <v>25455.217434352791</v>
      </c>
      <c r="F44" s="196">
        <f t="shared" si="3"/>
        <v>3372671.974232445</v>
      </c>
    </row>
    <row r="45" spans="2:11" x14ac:dyDescent="0.2">
      <c r="B45" s="192">
        <v>28</v>
      </c>
      <c r="C45" s="195">
        <f>D12</f>
        <v>49808.462307964837</v>
      </c>
      <c r="D45" s="196">
        <f>F44*D8</f>
        <v>24170.81581533252</v>
      </c>
      <c r="E45" s="196">
        <f t="shared" si="2"/>
        <v>25637.646492632317</v>
      </c>
      <c r="F45" s="196">
        <f t="shared" si="3"/>
        <v>3347034.3277398129</v>
      </c>
    </row>
    <row r="46" spans="2:11" x14ac:dyDescent="0.2">
      <c r="B46" s="192">
        <v>29</v>
      </c>
      <c r="C46" s="195">
        <f>D12</f>
        <v>49808.462307964837</v>
      </c>
      <c r="D46" s="196">
        <f>F45*D8</f>
        <v>23987.079348801988</v>
      </c>
      <c r="E46" s="196">
        <f t="shared" si="2"/>
        <v>25821.382959162849</v>
      </c>
      <c r="F46" s="196">
        <f t="shared" si="3"/>
        <v>3321212.9447806501</v>
      </c>
    </row>
    <row r="47" spans="2:11" x14ac:dyDescent="0.2">
      <c r="B47" s="192">
        <v>30</v>
      </c>
      <c r="C47" s="195">
        <f>D12</f>
        <v>49808.462307964837</v>
      </c>
      <c r="D47" s="196">
        <f>F46*D8</f>
        <v>23802.026104261324</v>
      </c>
      <c r="E47" s="196">
        <f t="shared" si="2"/>
        <v>26006.436203703513</v>
      </c>
      <c r="F47" s="157">
        <f t="shared" si="3"/>
        <v>3295206.5085769468</v>
      </c>
      <c r="G47" s="178"/>
      <c r="H47" s="178"/>
      <c r="I47" s="178"/>
      <c r="J47" s="179">
        <f>SUM(D36:D47)</f>
        <v>297552.72189073806</v>
      </c>
      <c r="K47" s="208">
        <v>47178</v>
      </c>
    </row>
    <row r="48" spans="2:11" x14ac:dyDescent="0.2">
      <c r="B48" s="192">
        <v>31</v>
      </c>
      <c r="C48" s="195">
        <f>D12</f>
        <v>49808.462307964837</v>
      </c>
      <c r="D48" s="196">
        <f>F47*D8</f>
        <v>23615.646644801451</v>
      </c>
      <c r="E48" s="196">
        <f t="shared" si="2"/>
        <v>26192.815663163386</v>
      </c>
      <c r="F48" s="196">
        <f t="shared" si="3"/>
        <v>3269013.6929137832</v>
      </c>
    </row>
    <row r="49" spans="2:11" x14ac:dyDescent="0.2">
      <c r="B49" s="192">
        <v>32</v>
      </c>
      <c r="C49" s="195">
        <f>D12</f>
        <v>49808.462307964837</v>
      </c>
      <c r="D49" s="196">
        <f>F48*D8</f>
        <v>23427.931465882109</v>
      </c>
      <c r="E49" s="196">
        <f t="shared" si="2"/>
        <v>26380.530842082728</v>
      </c>
      <c r="F49" s="196">
        <f t="shared" si="3"/>
        <v>3242633.1620717007</v>
      </c>
    </row>
    <row r="50" spans="2:11" x14ac:dyDescent="0.2">
      <c r="B50" s="192">
        <v>33</v>
      </c>
      <c r="C50" s="195">
        <f>D12</f>
        <v>49808.462307964837</v>
      </c>
      <c r="D50" s="196">
        <f>F49*D8</f>
        <v>23238.870994847184</v>
      </c>
      <c r="E50" s="196">
        <f t="shared" si="2"/>
        <v>26569.591313117653</v>
      </c>
      <c r="F50" s="196">
        <f t="shared" si="3"/>
        <v>3216063.570758583</v>
      </c>
    </row>
    <row r="51" spans="2:11" x14ac:dyDescent="0.2">
      <c r="B51" s="192">
        <v>34</v>
      </c>
      <c r="C51" s="195">
        <f>D12</f>
        <v>49808.462307964837</v>
      </c>
      <c r="D51" s="196">
        <f>F50*D8</f>
        <v>23048.455590436508</v>
      </c>
      <c r="E51" s="196">
        <f t="shared" si="2"/>
        <v>26760.006717528329</v>
      </c>
      <c r="F51" s="196">
        <f t="shared" si="3"/>
        <v>3189303.5640410548</v>
      </c>
    </row>
    <row r="52" spans="2:11" x14ac:dyDescent="0.2">
      <c r="B52" s="192">
        <v>35</v>
      </c>
      <c r="C52" s="195">
        <f>D12</f>
        <v>49808.462307964837</v>
      </c>
      <c r="D52" s="196">
        <f>F51*D8</f>
        <v>22856.675542294222</v>
      </c>
      <c r="E52" s="196">
        <f t="shared" si="2"/>
        <v>26951.786765670615</v>
      </c>
      <c r="F52" s="196">
        <f t="shared" si="3"/>
        <v>3162351.7772753844</v>
      </c>
    </row>
    <row r="53" spans="2:11" x14ac:dyDescent="0.2">
      <c r="B53" s="192">
        <v>36</v>
      </c>
      <c r="C53" s="195">
        <f>D12</f>
        <v>49808.462307964837</v>
      </c>
      <c r="D53" s="196">
        <f>F52*D8</f>
        <v>22663.521070473587</v>
      </c>
      <c r="E53" s="196">
        <f t="shared" si="2"/>
        <v>27144.94123749125</v>
      </c>
      <c r="F53" s="196">
        <f t="shared" si="3"/>
        <v>3135206.8360378933</v>
      </c>
      <c r="G53" s="130">
        <v>3</v>
      </c>
      <c r="I53" s="130">
        <f>SUM(D42:D53)</f>
        <v>284412.8611890389</v>
      </c>
    </row>
    <row r="54" spans="2:11" x14ac:dyDescent="0.2">
      <c r="B54" s="192">
        <v>37</v>
      </c>
      <c r="C54" s="195">
        <f>D12</f>
        <v>49808.462307964837</v>
      </c>
      <c r="D54" s="196">
        <f>F53*D8</f>
        <v>22468.982324938232</v>
      </c>
      <c r="E54" s="196">
        <f t="shared" si="2"/>
        <v>27339.479983026606</v>
      </c>
      <c r="F54" s="196">
        <f t="shared" si="3"/>
        <v>3107867.3560548667</v>
      </c>
    </row>
    <row r="55" spans="2:11" x14ac:dyDescent="0.2">
      <c r="B55" s="192">
        <v>38</v>
      </c>
      <c r="C55" s="195">
        <f t="shared" ref="C55:C77" si="4">$D$12</f>
        <v>49808.462307964837</v>
      </c>
      <c r="D55" s="196">
        <f>F54*D8</f>
        <v>22273.049385059876</v>
      </c>
      <c r="E55" s="196">
        <f t="shared" si="2"/>
        <v>27535.412922904961</v>
      </c>
      <c r="F55" s="196">
        <f t="shared" si="3"/>
        <v>3080331.9431319619</v>
      </c>
    </row>
    <row r="56" spans="2:11" x14ac:dyDescent="0.2">
      <c r="B56" s="192">
        <v>39</v>
      </c>
      <c r="C56" s="195">
        <f t="shared" si="4"/>
        <v>49808.462307964837</v>
      </c>
      <c r="D56" s="196">
        <f>F55*D8</f>
        <v>22075.712259112392</v>
      </c>
      <c r="E56" s="196">
        <f t="shared" si="2"/>
        <v>27732.750048852446</v>
      </c>
      <c r="F56" s="196">
        <f t="shared" si="3"/>
        <v>3052599.1930831093</v>
      </c>
    </row>
    <row r="57" spans="2:11" x14ac:dyDescent="0.2">
      <c r="B57" s="192">
        <v>40</v>
      </c>
      <c r="C57" s="195">
        <f t="shared" si="4"/>
        <v>49808.462307964837</v>
      </c>
      <c r="D57" s="196">
        <f>F56*D8</f>
        <v>21876.96088376228</v>
      </c>
      <c r="E57" s="196">
        <f t="shared" si="2"/>
        <v>27931.501424202557</v>
      </c>
      <c r="F57" s="196">
        <f t="shared" si="3"/>
        <v>3024667.6916589066</v>
      </c>
    </row>
    <row r="58" spans="2:11" x14ac:dyDescent="0.2">
      <c r="B58" s="192">
        <v>41</v>
      </c>
      <c r="C58" s="195">
        <f t="shared" si="4"/>
        <v>49808.462307964837</v>
      </c>
      <c r="D58" s="196">
        <f>F57*D8</f>
        <v>21676.785123555495</v>
      </c>
      <c r="E58" s="196">
        <f t="shared" si="2"/>
        <v>28131.677184409342</v>
      </c>
      <c r="F58" s="196">
        <f t="shared" si="3"/>
        <v>2996536.0144744972</v>
      </c>
    </row>
    <row r="59" spans="2:11" x14ac:dyDescent="0.2">
      <c r="B59" s="192">
        <v>42</v>
      </c>
      <c r="C59" s="195">
        <f t="shared" si="4"/>
        <v>49808.462307964837</v>
      </c>
      <c r="D59" s="196">
        <f>F58*D8</f>
        <v>21475.174770400561</v>
      </c>
      <c r="E59" s="196">
        <f t="shared" si="2"/>
        <v>28333.287537564276</v>
      </c>
      <c r="F59" s="157">
        <f t="shared" si="3"/>
        <v>2968202.7269369331</v>
      </c>
      <c r="G59" s="178"/>
      <c r="H59" s="178"/>
      <c r="I59" s="178"/>
      <c r="J59" s="179">
        <f>SUM(D48:D59)</f>
        <v>270697.76605556387</v>
      </c>
      <c r="K59" s="208">
        <v>11018</v>
      </c>
    </row>
    <row r="60" spans="2:11" x14ac:dyDescent="0.2">
      <c r="B60" s="192">
        <v>43</v>
      </c>
      <c r="C60" s="195">
        <f t="shared" si="4"/>
        <v>49808.462307964837</v>
      </c>
      <c r="D60" s="196">
        <f>F59*D8</f>
        <v>21272.119543048018</v>
      </c>
      <c r="E60" s="196">
        <f t="shared" si="2"/>
        <v>28536.342764916819</v>
      </c>
      <c r="F60" s="196">
        <f t="shared" si="3"/>
        <v>2939666.3841720163</v>
      </c>
    </row>
    <row r="61" spans="2:11" x14ac:dyDescent="0.2">
      <c r="B61" s="192">
        <v>44</v>
      </c>
      <c r="C61" s="195">
        <f t="shared" si="4"/>
        <v>49808.462307964837</v>
      </c>
      <c r="D61" s="196">
        <f>F60*D8</f>
        <v>21067.609086566114</v>
      </c>
      <c r="E61" s="196">
        <f t="shared" si="2"/>
        <v>28740.853221398724</v>
      </c>
      <c r="F61" s="196">
        <f t="shared" si="3"/>
        <v>2910925.5309506175</v>
      </c>
    </row>
    <row r="62" spans="2:11" x14ac:dyDescent="0.2">
      <c r="B62" s="192">
        <v>45</v>
      </c>
      <c r="C62" s="195">
        <f t="shared" si="4"/>
        <v>49808.462307964837</v>
      </c>
      <c r="D62" s="196">
        <f>F61*D8</f>
        <v>20861.632971812756</v>
      </c>
      <c r="E62" s="196">
        <f t="shared" si="2"/>
        <v>28946.829336152081</v>
      </c>
      <c r="F62" s="196">
        <f t="shared" si="3"/>
        <v>2881978.7016144656</v>
      </c>
    </row>
    <row r="63" spans="2:11" x14ac:dyDescent="0.2">
      <c r="B63" s="192">
        <v>46</v>
      </c>
      <c r="C63" s="195">
        <f t="shared" si="4"/>
        <v>49808.462307964837</v>
      </c>
      <c r="D63" s="196">
        <f>F62*D8</f>
        <v>20654.180694903669</v>
      </c>
      <c r="E63" s="196">
        <f t="shared" si="2"/>
        <v>29154.281613061168</v>
      </c>
      <c r="F63" s="196">
        <f t="shared" si="3"/>
        <v>2852824.4200014044</v>
      </c>
    </row>
    <row r="64" spans="2:11" x14ac:dyDescent="0.2">
      <c r="B64" s="192">
        <v>47</v>
      </c>
      <c r="C64" s="195">
        <f t="shared" si="4"/>
        <v>49808.462307964837</v>
      </c>
      <c r="D64" s="196">
        <f>F63*D8</f>
        <v>20445.241676676727</v>
      </c>
      <c r="E64" s="196">
        <f t="shared" si="2"/>
        <v>29363.22063128811</v>
      </c>
      <c r="F64" s="196">
        <f t="shared" si="3"/>
        <v>2823461.1993701165</v>
      </c>
    </row>
    <row r="65" spans="2:11" x14ac:dyDescent="0.2">
      <c r="B65" s="192">
        <v>48</v>
      </c>
      <c r="C65" s="195">
        <f t="shared" si="4"/>
        <v>49808.462307964837</v>
      </c>
      <c r="D65" s="196">
        <f>F64*D8</f>
        <v>20234.805262152498</v>
      </c>
      <c r="E65" s="196">
        <f t="shared" si="2"/>
        <v>29573.657045812339</v>
      </c>
      <c r="F65" s="196">
        <f t="shared" si="3"/>
        <v>2793887.5423243041</v>
      </c>
      <c r="G65" s="130">
        <v>4</v>
      </c>
      <c r="I65" s="130">
        <f>SUM(D54:D65)</f>
        <v>256382.25398198864</v>
      </c>
    </row>
    <row r="66" spans="2:11" x14ac:dyDescent="0.2">
      <c r="B66" s="192">
        <v>49</v>
      </c>
      <c r="C66" s="195">
        <f t="shared" si="4"/>
        <v>49808.462307964837</v>
      </c>
      <c r="D66" s="196">
        <f>F65*D8</f>
        <v>20022.860719990844</v>
      </c>
      <c r="E66" s="196">
        <f t="shared" si="2"/>
        <v>29785.601587973993</v>
      </c>
      <c r="F66" s="196">
        <f t="shared" si="3"/>
        <v>2764101.9407363301</v>
      </c>
    </row>
    <row r="67" spans="2:11" x14ac:dyDescent="0.2">
      <c r="B67" s="192">
        <v>50</v>
      </c>
      <c r="C67" s="195">
        <f t="shared" si="4"/>
        <v>49808.462307964837</v>
      </c>
      <c r="D67" s="196">
        <f>F66*D8</f>
        <v>19809.397241943698</v>
      </c>
      <c r="E67" s="196">
        <f t="shared" si="2"/>
        <v>29999.06506602114</v>
      </c>
      <c r="F67" s="196">
        <f t="shared" si="3"/>
        <v>2734102.8756703092</v>
      </c>
    </row>
    <row r="68" spans="2:11" x14ac:dyDescent="0.2">
      <c r="B68" s="192">
        <v>51</v>
      </c>
      <c r="C68" s="195">
        <f t="shared" si="4"/>
        <v>49808.462307964837</v>
      </c>
      <c r="D68" s="196">
        <f>F67*D8</f>
        <v>19594.403942303881</v>
      </c>
      <c r="E68" s="196">
        <f t="shared" si="2"/>
        <v>30214.058365660956</v>
      </c>
      <c r="F68" s="196">
        <f t="shared" si="3"/>
        <v>2703888.817304648</v>
      </c>
    </row>
    <row r="69" spans="2:11" x14ac:dyDescent="0.2">
      <c r="B69" s="192">
        <v>52</v>
      </c>
      <c r="C69" s="195">
        <f t="shared" si="4"/>
        <v>49808.462307964837</v>
      </c>
      <c r="D69" s="196">
        <f>F68*D8</f>
        <v>19377.869857349975</v>
      </c>
      <c r="E69" s="196">
        <f t="shared" si="2"/>
        <v>30430.592450614862</v>
      </c>
      <c r="F69" s="196">
        <f t="shared" si="3"/>
        <v>2673458.224854033</v>
      </c>
    </row>
    <row r="70" spans="2:11" x14ac:dyDescent="0.2">
      <c r="B70" s="192">
        <v>53</v>
      </c>
      <c r="C70" s="195">
        <f t="shared" si="4"/>
        <v>49808.462307964837</v>
      </c>
      <c r="D70" s="196">
        <f>F69*D8</f>
        <v>19159.783944787236</v>
      </c>
      <c r="E70" s="196">
        <f t="shared" si="2"/>
        <v>30648.678363177602</v>
      </c>
      <c r="F70" s="196">
        <f t="shared" si="3"/>
        <v>2642809.5464908555</v>
      </c>
    </row>
    <row r="71" spans="2:11" x14ac:dyDescent="0.2">
      <c r="B71" s="192">
        <v>54</v>
      </c>
      <c r="C71" s="195">
        <f t="shared" si="4"/>
        <v>49808.462307964837</v>
      </c>
      <c r="D71" s="196">
        <f>F70*D8</f>
        <v>18940.135083184461</v>
      </c>
      <c r="E71" s="196">
        <f t="shared" si="2"/>
        <v>30868.327224780376</v>
      </c>
      <c r="F71" s="157">
        <f t="shared" si="3"/>
        <v>2611941.2192660752</v>
      </c>
      <c r="G71" s="178"/>
      <c r="H71" s="178"/>
      <c r="I71" s="178"/>
      <c r="J71" s="179">
        <f>SUM(D60:D71)</f>
        <v>241440.04002471987</v>
      </c>
      <c r="K71" s="208">
        <v>11383</v>
      </c>
    </row>
    <row r="72" spans="2:11" x14ac:dyDescent="0.2">
      <c r="B72" s="192">
        <v>55</v>
      </c>
      <c r="C72" s="195">
        <f t="shared" si="4"/>
        <v>49808.462307964837</v>
      </c>
      <c r="D72" s="196">
        <f>F71*D8</f>
        <v>18718.91207140687</v>
      </c>
      <c r="E72" s="196">
        <f t="shared" si="2"/>
        <v>31089.550236557967</v>
      </c>
      <c r="F72" s="196">
        <f t="shared" si="3"/>
        <v>2580851.6690295171</v>
      </c>
    </row>
    <row r="73" spans="2:11" x14ac:dyDescent="0.2">
      <c r="B73" s="192">
        <v>56</v>
      </c>
      <c r="C73" s="195">
        <f t="shared" si="4"/>
        <v>49808.462307964837</v>
      </c>
      <c r="D73" s="196">
        <f>F72*D8</f>
        <v>18496.103628044872</v>
      </c>
      <c r="E73" s="196">
        <f t="shared" si="2"/>
        <v>31312.358679919966</v>
      </c>
      <c r="F73" s="196">
        <f t="shared" si="3"/>
        <v>2549539.3103495971</v>
      </c>
    </row>
    <row r="74" spans="2:11" x14ac:dyDescent="0.2">
      <c r="B74" s="192">
        <v>57</v>
      </c>
      <c r="C74" s="195">
        <f t="shared" si="4"/>
        <v>49808.462307964837</v>
      </c>
      <c r="D74" s="196">
        <f>F73*D8</f>
        <v>18271.698390838777</v>
      </c>
      <c r="E74" s="196">
        <f t="shared" si="2"/>
        <v>31536.76391712606</v>
      </c>
      <c r="F74" s="196">
        <f t="shared" si="3"/>
        <v>2518002.5464324709</v>
      </c>
    </row>
    <row r="75" spans="2:11" x14ac:dyDescent="0.2">
      <c r="B75" s="192">
        <v>58</v>
      </c>
      <c r="C75" s="195">
        <f t="shared" si="4"/>
        <v>49808.462307964837</v>
      </c>
      <c r="D75" s="196">
        <f>F74*D8</f>
        <v>18045.684916099373</v>
      </c>
      <c r="E75" s="196">
        <f t="shared" si="2"/>
        <v>31762.777391865464</v>
      </c>
      <c r="F75" s="196">
        <f t="shared" si="3"/>
        <v>2486239.7690406055</v>
      </c>
    </row>
    <row r="76" spans="2:11" x14ac:dyDescent="0.2">
      <c r="B76" s="192">
        <v>59</v>
      </c>
      <c r="C76" s="195">
        <f t="shared" si="4"/>
        <v>49808.462307964837</v>
      </c>
      <c r="D76" s="196">
        <f>F75*D8</f>
        <v>17818.051678124339</v>
      </c>
      <c r="E76" s="196">
        <f t="shared" si="2"/>
        <v>31990.410629840499</v>
      </c>
      <c r="F76" s="196">
        <f t="shared" si="3"/>
        <v>2454249.358410765</v>
      </c>
    </row>
    <row r="77" spans="2:11" x14ac:dyDescent="0.2">
      <c r="B77" s="192">
        <v>60</v>
      </c>
      <c r="C77" s="195">
        <f t="shared" si="4"/>
        <v>49808.462307964837</v>
      </c>
      <c r="D77" s="196">
        <f>F76*D8</f>
        <v>17588.78706861048</v>
      </c>
      <c r="E77" s="196">
        <f t="shared" si="2"/>
        <v>32219.675239354357</v>
      </c>
      <c r="F77" s="196">
        <f t="shared" si="3"/>
        <v>2422029.6831714106</v>
      </c>
      <c r="G77" s="130">
        <v>5</v>
      </c>
      <c r="I77" s="130">
        <f>SUM(D66:D77)</f>
        <v>225843.68854268483</v>
      </c>
    </row>
    <row r="78" spans="2:11" x14ac:dyDescent="0.2">
      <c r="B78" s="192">
        <v>62</v>
      </c>
      <c r="C78" s="195">
        <v>29862.134198453652</v>
      </c>
      <c r="D78" s="196">
        <v>14218.143333333333</v>
      </c>
      <c r="E78" s="196">
        <v>15643.990865120319</v>
      </c>
      <c r="F78" s="196">
        <v>1296800.0091348796</v>
      </c>
    </row>
    <row r="79" spans="2:11" x14ac:dyDescent="0.2">
      <c r="B79" s="192">
        <v>63</v>
      </c>
      <c r="C79" s="195">
        <v>29862.134198453652</v>
      </c>
      <c r="D79" s="196">
        <v>14048.666765627862</v>
      </c>
      <c r="E79" s="196">
        <v>15813.46743282579</v>
      </c>
      <c r="F79" s="196">
        <v>1280986.5417020537</v>
      </c>
    </row>
    <row r="80" spans="2:11" x14ac:dyDescent="0.2">
      <c r="B80" s="192">
        <v>64</v>
      </c>
      <c r="C80" s="195">
        <v>29862.134198453652</v>
      </c>
      <c r="D80" s="196">
        <v>13877.35420177225</v>
      </c>
      <c r="E80" s="196">
        <v>15984.779996681402</v>
      </c>
      <c r="F80" s="196">
        <v>1265001.7617053722</v>
      </c>
    </row>
    <row r="81" spans="2:11" x14ac:dyDescent="0.2">
      <c r="B81" s="192">
        <v>65</v>
      </c>
      <c r="C81" s="195">
        <v>29862.134198453652</v>
      </c>
      <c r="D81" s="196">
        <v>13704.1857518082</v>
      </c>
      <c r="E81" s="196">
        <v>16157.948446645452</v>
      </c>
      <c r="F81" s="196">
        <v>1248843.8132587268</v>
      </c>
    </row>
    <row r="82" spans="2:11" x14ac:dyDescent="0.2">
      <c r="B82" s="192">
        <v>66</v>
      </c>
      <c r="C82" s="195">
        <v>29862.134198453652</v>
      </c>
      <c r="D82" s="196">
        <v>13529.141310302875</v>
      </c>
      <c r="E82" s="196">
        <v>16332.992888150777</v>
      </c>
      <c r="F82" s="157">
        <v>1232510.8203705761</v>
      </c>
      <c r="G82" s="178"/>
      <c r="H82" s="178"/>
      <c r="I82" s="178"/>
      <c r="J82" s="179">
        <f>SUM(D72:D82)</f>
        <v>178316.72911596921</v>
      </c>
      <c r="K82" s="208">
        <v>11749</v>
      </c>
    </row>
    <row r="83" spans="2:11" x14ac:dyDescent="0.2">
      <c r="B83" s="192">
        <v>67</v>
      </c>
      <c r="C83" s="195">
        <v>29862.134198453652</v>
      </c>
      <c r="D83" s="196">
        <v>13352.200554014575</v>
      </c>
      <c r="E83" s="196">
        <v>16509.933644439079</v>
      </c>
      <c r="F83" s="196">
        <v>1216000.886726137</v>
      </c>
    </row>
    <row r="84" spans="2:11" x14ac:dyDescent="0.2">
      <c r="B84" s="192">
        <v>68</v>
      </c>
      <c r="C84" s="195">
        <v>29862.134198453652</v>
      </c>
      <c r="D84" s="196">
        <v>13173.342939533151</v>
      </c>
      <c r="E84" s="196">
        <v>16688.791258920501</v>
      </c>
      <c r="F84" s="196">
        <v>1199312.0954672166</v>
      </c>
    </row>
    <row r="85" spans="2:11" x14ac:dyDescent="0.2">
      <c r="B85" s="192">
        <v>69</v>
      </c>
      <c r="C85" s="195">
        <v>29862.134198453652</v>
      </c>
      <c r="D85" s="196">
        <v>12992.547700894847</v>
      </c>
      <c r="E85" s="196">
        <v>16869.586497558805</v>
      </c>
      <c r="F85" s="196">
        <v>1182442.5089696578</v>
      </c>
    </row>
    <row r="86" spans="2:11" x14ac:dyDescent="0.2">
      <c r="B86" s="192">
        <v>70</v>
      </c>
      <c r="C86" s="195">
        <v>29862.134198453652</v>
      </c>
      <c r="D86" s="196">
        <v>12809.793847171293</v>
      </c>
      <c r="E86" s="196">
        <v>17052.340351282357</v>
      </c>
      <c r="F86" s="196">
        <v>1165390.1686183754</v>
      </c>
    </row>
    <row r="87" spans="2:11" x14ac:dyDescent="0.2">
      <c r="B87" s="192">
        <v>71</v>
      </c>
      <c r="C87" s="195">
        <v>29862.134198453652</v>
      </c>
      <c r="D87" s="196">
        <v>12625.060160032401</v>
      </c>
      <c r="E87" s="196">
        <v>17237.074038421251</v>
      </c>
      <c r="F87" s="196">
        <v>1148153.0945799542</v>
      </c>
    </row>
    <row r="88" spans="2:11" x14ac:dyDescent="0.2">
      <c r="B88" s="192">
        <v>72</v>
      </c>
      <c r="C88" s="195">
        <v>29862.134198453652</v>
      </c>
      <c r="D88" s="196">
        <v>12438.325191282836</v>
      </c>
      <c r="E88" s="196">
        <v>17423.809007170814</v>
      </c>
      <c r="F88" s="196">
        <v>1130729.2855727833</v>
      </c>
      <c r="G88" s="130">
        <v>6</v>
      </c>
      <c r="I88" s="130">
        <f>SUM(D78:D88)</f>
        <v>146768.76175577362</v>
      </c>
    </row>
    <row r="89" spans="2:11" x14ac:dyDescent="0.2">
      <c r="B89" s="192">
        <v>73</v>
      </c>
      <c r="C89" s="195">
        <v>29862.134198453652</v>
      </c>
      <c r="D89" s="196">
        <v>12249.567260371819</v>
      </c>
      <c r="E89" s="196">
        <v>17612.566938081833</v>
      </c>
      <c r="F89" s="196">
        <v>1113116.7186347016</v>
      </c>
    </row>
    <row r="90" spans="2:11" x14ac:dyDescent="0.2">
      <c r="B90" s="192">
        <v>74</v>
      </c>
      <c r="C90" s="195">
        <v>29862.134198453652</v>
      </c>
      <c r="D90" s="196">
        <v>12058.764451875933</v>
      </c>
      <c r="E90" s="196">
        <v>17803.369746577719</v>
      </c>
      <c r="F90" s="196">
        <v>1095313.3488881239</v>
      </c>
    </row>
    <row r="91" spans="2:11" x14ac:dyDescent="0.2">
      <c r="B91" s="192">
        <v>75</v>
      </c>
      <c r="C91" s="195">
        <v>29862.134198453652</v>
      </c>
      <c r="D91" s="196">
        <v>11865.894612954675</v>
      </c>
      <c r="E91" s="196">
        <v>17996.239585498977</v>
      </c>
      <c r="F91" s="196">
        <v>1077317.1093026248</v>
      </c>
    </row>
    <row r="92" spans="2:11" x14ac:dyDescent="0.2">
      <c r="B92" s="192">
        <v>76</v>
      </c>
      <c r="C92" s="195">
        <v>29862.134198453652</v>
      </c>
      <c r="D92" s="196">
        <v>11670.935350778436</v>
      </c>
      <c r="E92" s="196">
        <v>18191.198847675216</v>
      </c>
      <c r="F92" s="196">
        <v>1059125.9104549496</v>
      </c>
    </row>
    <row r="93" spans="2:11" x14ac:dyDescent="0.2">
      <c r="B93" s="192">
        <v>77</v>
      </c>
      <c r="C93" s="195">
        <v>29862.134198453652</v>
      </c>
      <c r="D93" s="196">
        <v>11473.864029928622</v>
      </c>
      <c r="E93" s="196">
        <v>18388.270168525029</v>
      </c>
      <c r="F93" s="196">
        <v>1040737.6402864245</v>
      </c>
    </row>
    <row r="94" spans="2:11" x14ac:dyDescent="0.2">
      <c r="B94" s="192">
        <v>78</v>
      </c>
      <c r="C94" s="195">
        <v>29862.134198453652</v>
      </c>
      <c r="D94" s="196">
        <v>11274.657769769599</v>
      </c>
      <c r="E94" s="196">
        <v>18587.476428684051</v>
      </c>
      <c r="F94" s="157">
        <v>1022150.1638577405</v>
      </c>
      <c r="G94" s="178"/>
      <c r="H94" s="178"/>
      <c r="I94" s="178"/>
      <c r="J94" s="179">
        <f>SUM(D83:D94)</f>
        <v>147984.95386860819</v>
      </c>
      <c r="K94" s="208">
        <v>12114</v>
      </c>
    </row>
    <row r="95" spans="2:11" x14ac:dyDescent="0.2">
      <c r="B95" s="192">
        <v>79</v>
      </c>
      <c r="C95" s="195">
        <v>29862.134198453652</v>
      </c>
      <c r="D95" s="196">
        <v>11073.293441792188</v>
      </c>
      <c r="E95" s="196">
        <v>18788.840756661462</v>
      </c>
      <c r="F95" s="196">
        <v>1003361.323101079</v>
      </c>
    </row>
    <row r="96" spans="2:11" x14ac:dyDescent="0.2">
      <c r="B96" s="192">
        <v>80</v>
      </c>
      <c r="C96" s="195">
        <v>29862.134198453652</v>
      </c>
      <c r="D96" s="196">
        <v>10869.747666928355</v>
      </c>
      <c r="E96" s="196">
        <v>18992.386531525299</v>
      </c>
      <c r="F96" s="196">
        <v>984368.93656955368</v>
      </c>
    </row>
    <row r="97" spans="2:11" x14ac:dyDescent="0.2">
      <c r="B97" s="192">
        <v>81</v>
      </c>
      <c r="C97" s="195">
        <v>29862.134198453652</v>
      </c>
      <c r="D97" s="196">
        <v>10663.996812836833</v>
      </c>
      <c r="E97" s="196">
        <v>19198.137385616821</v>
      </c>
      <c r="F97" s="196">
        <v>965170.79918393691</v>
      </c>
    </row>
    <row r="98" spans="2:11" x14ac:dyDescent="0.2">
      <c r="B98" s="192">
        <v>82</v>
      </c>
      <c r="C98" s="195">
        <v>29862.134198453652</v>
      </c>
      <c r="D98" s="196">
        <v>10456.016991159317</v>
      </c>
      <c r="E98" s="196">
        <v>19406.117207294337</v>
      </c>
      <c r="F98" s="196">
        <v>945764.68197664258</v>
      </c>
    </row>
    <row r="99" spans="2:11" x14ac:dyDescent="0.2">
      <c r="B99" s="192">
        <v>83</v>
      </c>
      <c r="C99" s="195">
        <v>29862.134198453652</v>
      </c>
      <c r="D99" s="196">
        <v>10245.784054746962</v>
      </c>
      <c r="E99" s="196">
        <v>19616.350143706688</v>
      </c>
      <c r="F99" s="196">
        <v>926148.33183293592</v>
      </c>
    </row>
    <row r="100" spans="2:11" x14ac:dyDescent="0.2">
      <c r="B100" s="192">
        <v>84</v>
      </c>
      <c r="C100" s="195">
        <v>29862.134198453652</v>
      </c>
      <c r="D100" s="196">
        <v>10033.273594856806</v>
      </c>
      <c r="E100" s="196">
        <v>19828.860603596848</v>
      </c>
      <c r="F100" s="196">
        <v>906319.47122933902</v>
      </c>
      <c r="G100" s="130">
        <v>7</v>
      </c>
      <c r="I100" s="130">
        <f>SUM(D89:D100)</f>
        <v>133935.79603799956</v>
      </c>
    </row>
    <row r="101" spans="2:11" x14ac:dyDescent="0.2">
      <c r="B101" s="192">
        <v>85</v>
      </c>
      <c r="C101" s="195">
        <v>29862.134198453652</v>
      </c>
      <c r="D101" s="196">
        <v>9818.4609383178395</v>
      </c>
      <c r="E101" s="196">
        <v>20043.673260135813</v>
      </c>
      <c r="F101" s="196">
        <v>886275.79796920321</v>
      </c>
    </row>
    <row r="102" spans="2:11" x14ac:dyDescent="0.2">
      <c r="B102" s="192">
        <v>86</v>
      </c>
      <c r="C102" s="195">
        <v>29862.134198453652</v>
      </c>
      <c r="D102" s="196">
        <v>9601.3211446663681</v>
      </c>
      <c r="E102" s="196">
        <v>20260.813053787286</v>
      </c>
      <c r="F102" s="196">
        <v>866014.98491541587</v>
      </c>
    </row>
    <row r="103" spans="2:11" x14ac:dyDescent="0.2">
      <c r="B103" s="192">
        <v>87</v>
      </c>
      <c r="C103" s="195">
        <v>29862.134198453652</v>
      </c>
      <c r="D103" s="196">
        <v>9381.8290032503392</v>
      </c>
      <c r="E103" s="196">
        <v>20480.305195203313</v>
      </c>
      <c r="F103" s="196">
        <v>845534.67972021259</v>
      </c>
    </row>
    <row r="104" spans="2:11" x14ac:dyDescent="0.2">
      <c r="B104" s="192">
        <v>88</v>
      </c>
      <c r="C104" s="195">
        <v>29862.134198453652</v>
      </c>
      <c r="D104" s="196">
        <v>9159.9590303023033</v>
      </c>
      <c r="E104" s="196">
        <v>20702.175168151349</v>
      </c>
      <c r="F104" s="196">
        <v>824832.5045520612</v>
      </c>
    </row>
    <row r="105" spans="2:11" x14ac:dyDescent="0.2">
      <c r="B105" s="192">
        <v>89</v>
      </c>
      <c r="C105" s="195">
        <v>29862.134198453652</v>
      </c>
      <c r="D105" s="196">
        <v>8935.6854659806631</v>
      </c>
      <c r="E105" s="196">
        <v>20926.448732472989</v>
      </c>
      <c r="F105" s="196">
        <v>803906.05581958825</v>
      </c>
    </row>
    <row r="106" spans="2:11" x14ac:dyDescent="0.2">
      <c r="B106" s="192">
        <v>90</v>
      </c>
      <c r="C106" s="195">
        <v>29862.134198453652</v>
      </c>
      <c r="D106" s="196">
        <v>8708.9822713788726</v>
      </c>
      <c r="E106" s="196">
        <v>21153.151927074781</v>
      </c>
      <c r="F106" s="157">
        <v>782752.90389251348</v>
      </c>
      <c r="G106" s="178"/>
      <c r="H106" s="178"/>
      <c r="I106" s="178"/>
      <c r="J106" s="179">
        <f>SUM(D95:D106)</f>
        <v>118948.35041621684</v>
      </c>
      <c r="K106" s="208">
        <v>12479</v>
      </c>
    </row>
    <row r="107" spans="2:11" x14ac:dyDescent="0.2">
      <c r="B107" s="192">
        <v>91</v>
      </c>
      <c r="C107" s="195">
        <v>29862.134198453652</v>
      </c>
      <c r="D107" s="196">
        <v>8479.8231255022292</v>
      </c>
      <c r="E107" s="196">
        <v>21382.311072951423</v>
      </c>
      <c r="F107" s="196">
        <v>761370.59281956207</v>
      </c>
    </row>
    <row r="108" spans="2:11" x14ac:dyDescent="0.2">
      <c r="B108" s="192">
        <v>92</v>
      </c>
      <c r="C108" s="195">
        <v>29862.134198453652</v>
      </c>
      <c r="D108" s="196">
        <v>8248.1814222119228</v>
      </c>
      <c r="E108" s="196">
        <v>21613.952776241727</v>
      </c>
      <c r="F108" s="196">
        <v>739756.64004332037</v>
      </c>
    </row>
    <row r="109" spans="2:11" x14ac:dyDescent="0.2">
      <c r="B109" s="192">
        <v>93</v>
      </c>
      <c r="C109" s="195">
        <v>29862.134198453652</v>
      </c>
      <c r="D109" s="196">
        <v>8014.0302671359714</v>
      </c>
      <c r="E109" s="196">
        <v>21848.103931317681</v>
      </c>
      <c r="F109" s="196">
        <v>717908.53611200268</v>
      </c>
    </row>
    <row r="110" spans="2:11" x14ac:dyDescent="0.2">
      <c r="B110" s="192">
        <v>94</v>
      </c>
      <c r="C110" s="195">
        <v>29862.134198453652</v>
      </c>
      <c r="D110" s="196">
        <v>7777.3424745466964</v>
      </c>
      <c r="E110" s="196">
        <v>22084.791723906957</v>
      </c>
      <c r="F110" s="196">
        <v>695823.74438809569</v>
      </c>
    </row>
    <row r="111" spans="2:11" x14ac:dyDescent="0.2">
      <c r="B111" s="192">
        <v>95</v>
      </c>
      <c r="C111" s="195">
        <v>29862.134198453652</v>
      </c>
      <c r="D111" s="196">
        <v>7538.0905642043699</v>
      </c>
      <c r="E111" s="196">
        <v>22324.043634249283</v>
      </c>
      <c r="F111" s="196">
        <v>673499.70075384644</v>
      </c>
    </row>
    <row r="112" spans="2:11" x14ac:dyDescent="0.2">
      <c r="B112" s="192">
        <v>96</v>
      </c>
      <c r="C112" s="195">
        <v>29862.134198453652</v>
      </c>
      <c r="D112" s="196">
        <v>7296.2467581666697</v>
      </c>
      <c r="E112" s="196">
        <v>22565.887440286984</v>
      </c>
      <c r="F112" s="196">
        <v>650933.8133135594</v>
      </c>
      <c r="G112" s="130">
        <v>8</v>
      </c>
      <c r="I112" s="130">
        <f>SUM(D101:D112)</f>
        <v>102959.95246566425</v>
      </c>
    </row>
    <row r="113" spans="2:11" x14ac:dyDescent="0.2">
      <c r="B113" s="192">
        <v>97</v>
      </c>
      <c r="C113" s="195">
        <v>29862.134198453652</v>
      </c>
      <c r="D113" s="196">
        <v>7051.7829775635601</v>
      </c>
      <c r="E113" s="196">
        <v>22810.351220890094</v>
      </c>
      <c r="F113" s="196">
        <v>628123.46209266933</v>
      </c>
    </row>
    <row r="114" spans="2:11" x14ac:dyDescent="0.2">
      <c r="B114" s="192">
        <v>98</v>
      </c>
      <c r="C114" s="195">
        <v>29862.134198453652</v>
      </c>
      <c r="D114" s="196">
        <v>6804.670839337251</v>
      </c>
      <c r="E114" s="196">
        <v>23057.463359116402</v>
      </c>
      <c r="F114" s="196">
        <v>605065.99873355287</v>
      </c>
    </row>
    <row r="115" spans="2:11" x14ac:dyDescent="0.2">
      <c r="B115" s="192">
        <v>99</v>
      </c>
      <c r="C115" s="195">
        <v>29862.134198453652</v>
      </c>
      <c r="D115" s="196">
        <v>6554.8816529468231</v>
      </c>
      <c r="E115" s="196">
        <v>23307.252545506828</v>
      </c>
      <c r="F115" s="196">
        <v>581758.74618804606</v>
      </c>
    </row>
    <row r="116" spans="2:11" x14ac:dyDescent="0.2">
      <c r="B116" s="192">
        <v>100</v>
      </c>
      <c r="C116" s="195">
        <v>29862.134198453652</v>
      </c>
      <c r="D116" s="196">
        <v>6302.3864170371662</v>
      </c>
      <c r="E116" s="196">
        <v>23559.747781416485</v>
      </c>
      <c r="F116" s="196">
        <v>558198.99840662954</v>
      </c>
    </row>
    <row r="117" spans="2:11" x14ac:dyDescent="0.2">
      <c r="B117" s="192">
        <v>101</v>
      </c>
      <c r="C117" s="195">
        <v>29862.134198453652</v>
      </c>
      <c r="D117" s="196">
        <v>6047.1558160718205</v>
      </c>
      <c r="E117" s="196">
        <v>23814.978382381832</v>
      </c>
      <c r="F117" s="196">
        <v>534384.0200242477</v>
      </c>
    </row>
    <row r="118" spans="2:11" x14ac:dyDescent="0.2">
      <c r="B118" s="192">
        <v>102</v>
      </c>
      <c r="C118" s="195">
        <v>29862.134198453652</v>
      </c>
      <c r="D118" s="196">
        <v>5789.1602169293501</v>
      </c>
      <c r="E118" s="196">
        <v>24072.973981524301</v>
      </c>
      <c r="F118" s="157">
        <v>510311.04604272341</v>
      </c>
      <c r="G118" s="178"/>
      <c r="H118" s="178"/>
      <c r="I118" s="178"/>
      <c r="J118" s="179">
        <f>SUM(D107:D118)</f>
        <v>85903.752531653838</v>
      </c>
      <c r="K118" s="208">
        <v>12844</v>
      </c>
    </row>
    <row r="119" spans="2:11" x14ac:dyDescent="0.2">
      <c r="B119" s="192">
        <v>103</v>
      </c>
      <c r="C119" s="195">
        <v>29862.134198453652</v>
      </c>
      <c r="D119" s="196">
        <v>5528.3696654628375</v>
      </c>
      <c r="E119" s="196">
        <v>24333.764532990815</v>
      </c>
      <c r="F119" s="196">
        <v>485977.28150973259</v>
      </c>
    </row>
    <row r="120" spans="2:11" x14ac:dyDescent="0.2">
      <c r="B120" s="192">
        <v>104</v>
      </c>
      <c r="C120" s="195">
        <v>29862.134198453652</v>
      </c>
      <c r="D120" s="196">
        <v>5264.7538830221029</v>
      </c>
      <c r="E120" s="196">
        <v>24597.38031543155</v>
      </c>
      <c r="F120" s="196">
        <v>461379.90119430103</v>
      </c>
    </row>
    <row r="121" spans="2:11" x14ac:dyDescent="0.2">
      <c r="B121" s="192">
        <v>105</v>
      </c>
      <c r="C121" s="195">
        <v>29862.134198453652</v>
      </c>
      <c r="D121" s="196">
        <v>4998.2822629382617</v>
      </c>
      <c r="E121" s="196">
        <v>24863.851935515391</v>
      </c>
      <c r="F121" s="196">
        <v>436516.04925878561</v>
      </c>
    </row>
    <row r="122" spans="2:11" x14ac:dyDescent="0.2">
      <c r="B122" s="192">
        <v>106</v>
      </c>
      <c r="C122" s="195">
        <v>29862.134198453652</v>
      </c>
      <c r="D122" s="196">
        <v>4728.9238669701772</v>
      </c>
      <c r="E122" s="196">
        <v>25133.210331483475</v>
      </c>
      <c r="F122" s="196">
        <v>411382.83892730216</v>
      </c>
    </row>
    <row r="123" spans="2:11" x14ac:dyDescent="0.2">
      <c r="B123" s="192">
        <v>107</v>
      </c>
      <c r="C123" s="195">
        <v>29862.134198453652</v>
      </c>
      <c r="D123" s="196">
        <v>4456.6474217124405</v>
      </c>
      <c r="E123" s="196">
        <v>25405.486776741211</v>
      </c>
      <c r="F123" s="196">
        <v>385977.35215056094</v>
      </c>
    </row>
    <row r="124" spans="2:11" x14ac:dyDescent="0.2">
      <c r="B124" s="192">
        <v>108</v>
      </c>
      <c r="C124" s="195">
        <v>29862.134198453652</v>
      </c>
      <c r="D124" s="196">
        <v>4181.4213149644102</v>
      </c>
      <c r="E124" s="196">
        <v>25680.712883489243</v>
      </c>
      <c r="F124" s="196">
        <v>360296.63926707167</v>
      </c>
      <c r="G124" s="130">
        <v>9</v>
      </c>
      <c r="I124" s="130">
        <f>SUM(D113:D124)</f>
        <v>67708.436334956205</v>
      </c>
    </row>
    <row r="125" spans="2:11" x14ac:dyDescent="0.2">
      <c r="B125" s="192">
        <v>109</v>
      </c>
      <c r="C125" s="195">
        <v>29862.134198453652</v>
      </c>
      <c r="D125" s="196">
        <v>3903.2135920599435</v>
      </c>
      <c r="E125" s="196">
        <v>25958.920606393709</v>
      </c>
      <c r="F125" s="196">
        <v>334337.71866067796</v>
      </c>
    </row>
    <row r="126" spans="2:11" x14ac:dyDescent="0.2">
      <c r="B126" s="192">
        <v>110</v>
      </c>
      <c r="C126" s="195">
        <v>29862.134198453652</v>
      </c>
      <c r="D126" s="196">
        <v>3621.9919521573447</v>
      </c>
      <c r="E126" s="196">
        <v>26240.142246296309</v>
      </c>
      <c r="F126" s="196">
        <v>308097.57641438162</v>
      </c>
    </row>
    <row r="127" spans="2:11" x14ac:dyDescent="0.2">
      <c r="B127" s="192">
        <v>111</v>
      </c>
      <c r="C127" s="195">
        <v>29862.134198453652</v>
      </c>
      <c r="D127" s="196">
        <v>3337.7237444891343</v>
      </c>
      <c r="E127" s="196">
        <v>26524.41045396452</v>
      </c>
      <c r="F127" s="196">
        <v>281573.16596041713</v>
      </c>
    </row>
    <row r="128" spans="2:11" x14ac:dyDescent="0.2">
      <c r="B128" s="192">
        <v>112</v>
      </c>
      <c r="C128" s="195">
        <v>29862.134198453652</v>
      </c>
      <c r="D128" s="196">
        <v>3050.3759645711857</v>
      </c>
      <c r="E128" s="196">
        <v>26811.758233882465</v>
      </c>
      <c r="F128" s="196">
        <v>254761.40772653467</v>
      </c>
    </row>
    <row r="129" spans="2:11" x14ac:dyDescent="0.2">
      <c r="B129" s="192">
        <v>113</v>
      </c>
      <c r="C129" s="195">
        <v>29862.134198453652</v>
      </c>
      <c r="D129" s="196">
        <v>2759.9152503707924</v>
      </c>
      <c r="E129" s="196">
        <v>27102.21894808286</v>
      </c>
      <c r="F129" s="196">
        <v>227659.18877845182</v>
      </c>
    </row>
    <row r="130" spans="2:11" x14ac:dyDescent="0.2">
      <c r="B130" s="192">
        <v>114</v>
      </c>
      <c r="C130" s="195">
        <v>29862.134198453652</v>
      </c>
      <c r="D130" s="196">
        <v>2466.3078784332283</v>
      </c>
      <c r="E130" s="196">
        <v>27395.826320020424</v>
      </c>
      <c r="F130" s="157">
        <v>200263.36245843139</v>
      </c>
      <c r="G130" s="178"/>
      <c r="H130" s="178"/>
      <c r="I130" s="178"/>
      <c r="J130" s="179">
        <f>SUM(D119:D130)</f>
        <v>48297.926797151871</v>
      </c>
      <c r="K130" s="208">
        <v>13210</v>
      </c>
    </row>
    <row r="131" spans="2:11" x14ac:dyDescent="0.2">
      <c r="B131" s="192">
        <v>115</v>
      </c>
      <c r="C131" s="195">
        <v>29862.134198453652</v>
      </c>
      <c r="D131" s="196">
        <v>2169.5197599663402</v>
      </c>
      <c r="E131" s="196">
        <v>27692.614438487311</v>
      </c>
      <c r="F131" s="196">
        <v>172570.74801994409</v>
      </c>
    </row>
    <row r="132" spans="2:11" x14ac:dyDescent="0.2">
      <c r="B132" s="192">
        <v>116</v>
      </c>
      <c r="C132" s="195">
        <v>29862.134198453652</v>
      </c>
      <c r="D132" s="196">
        <v>1869.5164368827277</v>
      </c>
      <c r="E132" s="196">
        <v>27992.617761570924</v>
      </c>
      <c r="F132" s="196">
        <v>144578.13025837316</v>
      </c>
    </row>
    <row r="133" spans="2:11" x14ac:dyDescent="0.2">
      <c r="B133" s="192">
        <v>117</v>
      </c>
      <c r="C133" s="195">
        <v>29862.134198453652</v>
      </c>
      <c r="D133" s="196">
        <v>1566.2630777990425</v>
      </c>
      <c r="E133" s="196">
        <v>28295.87112065461</v>
      </c>
      <c r="F133" s="196">
        <v>116282.25913771855</v>
      </c>
    </row>
    <row r="134" spans="2:11" x14ac:dyDescent="0.2">
      <c r="B134" s="192">
        <v>118</v>
      </c>
      <c r="C134" s="195">
        <v>29862.134198453652</v>
      </c>
      <c r="D134" s="196">
        <v>1259.7244739919508</v>
      </c>
      <c r="E134" s="196">
        <v>28602.409724461701</v>
      </c>
      <c r="F134" s="196">
        <v>87679.849413256845</v>
      </c>
    </row>
    <row r="135" spans="2:11" x14ac:dyDescent="0.2">
      <c r="B135" s="192">
        <v>119</v>
      </c>
      <c r="C135" s="195">
        <v>29862.134198453652</v>
      </c>
      <c r="D135" s="196">
        <v>949.86503531028256</v>
      </c>
      <c r="E135" s="196">
        <v>28912.26916314337</v>
      </c>
      <c r="F135" s="196">
        <v>58767.580250113475</v>
      </c>
    </row>
    <row r="136" spans="2:11" x14ac:dyDescent="0.2">
      <c r="B136" s="192">
        <v>120</v>
      </c>
      <c r="C136" s="195">
        <v>29862.134198453652</v>
      </c>
      <c r="D136" s="196">
        <v>636.64878604289595</v>
      </c>
      <c r="E136" s="196">
        <v>29225.485412410755</v>
      </c>
      <c r="F136" s="196">
        <v>29542.09483770272</v>
      </c>
      <c r="G136" s="130">
        <v>10</v>
      </c>
    </row>
    <row r="137" spans="2:11" x14ac:dyDescent="0.2">
      <c r="B137" s="192">
        <v>121</v>
      </c>
      <c r="C137" s="195">
        <v>29862.134198453652</v>
      </c>
      <c r="D137" s="196">
        <v>320.03936074177949</v>
      </c>
      <c r="E137" s="196">
        <v>29542.094837711873</v>
      </c>
      <c r="F137" s="196">
        <v>-9.1531546786427498E-9</v>
      </c>
      <c r="I137" s="130">
        <f>SUM(D125:D137)</f>
        <v>27911.10531281665</v>
      </c>
      <c r="K137" s="158" t="s">
        <v>121</v>
      </c>
    </row>
    <row r="138" spans="2:11" x14ac:dyDescent="0.2">
      <c r="B138" s="192"/>
      <c r="C138" s="195"/>
      <c r="D138" s="196"/>
      <c r="E138" s="196"/>
      <c r="F138" s="196"/>
    </row>
  </sheetData>
  <mergeCells count="9">
    <mergeCell ref="B12:C12"/>
    <mergeCell ref="B14:F14"/>
    <mergeCell ref="B8:C8"/>
    <mergeCell ref="B2:G2"/>
    <mergeCell ref="I2:K2"/>
    <mergeCell ref="B4:C4"/>
    <mergeCell ref="I4:K6"/>
    <mergeCell ref="B6:C6"/>
    <mergeCell ref="B10:C10"/>
  </mergeCells>
  <dataValidations disablePrompts="1" count="2">
    <dataValidation type="textLength" allowBlank="1" showInputMessage="1" showErrorMessage="1" sqref="D8">
      <formula1>0</formula1>
      <formula2>0</formula2>
    </dataValidation>
    <dataValidation errorStyle="warning" allowBlank="1" showInputMessage="1" showErrorMessage="1" errorTitle="ONLY %" promptTitle="INTEREST % PER ANNUM" sqref="D6"/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1"/>
  <sheetViews>
    <sheetView tabSelected="1" workbookViewId="0">
      <selection activeCell="H10" sqref="H10"/>
    </sheetView>
  </sheetViews>
  <sheetFormatPr defaultRowHeight="12.75" x14ac:dyDescent="0.2"/>
  <cols>
    <col min="3" max="3" width="11.140625" bestFit="1" customWidth="1"/>
    <col min="4" max="4" width="14" customWidth="1"/>
    <col min="5" max="5" width="10.85546875" customWidth="1"/>
  </cols>
  <sheetData>
    <row r="5" spans="2:5" x14ac:dyDescent="0.2">
      <c r="B5" s="247" t="s">
        <v>167</v>
      </c>
      <c r="C5" s="248"/>
      <c r="D5" s="248"/>
      <c r="E5" s="249"/>
    </row>
    <row r="6" spans="2:5" x14ac:dyDescent="0.2">
      <c r="B6" s="250"/>
      <c r="C6" s="251"/>
      <c r="D6" s="251"/>
      <c r="E6" s="252"/>
    </row>
    <row r="7" spans="2:5" x14ac:dyDescent="0.2">
      <c r="B7" s="253"/>
      <c r="C7" s="254"/>
      <c r="D7" s="254"/>
      <c r="E7" s="255"/>
    </row>
    <row r="10" spans="2:5" ht="25.5" x14ac:dyDescent="0.2">
      <c r="B10" s="244" t="s">
        <v>189</v>
      </c>
      <c r="C10" s="244" t="s">
        <v>203</v>
      </c>
      <c r="D10" s="256" t="s">
        <v>202</v>
      </c>
      <c r="E10" s="244" t="s">
        <v>188</v>
      </c>
    </row>
    <row r="11" spans="2:5" x14ac:dyDescent="0.2">
      <c r="B11" s="244" t="s">
        <v>190</v>
      </c>
      <c r="C11" s="245">
        <v>3323350</v>
      </c>
      <c r="D11" s="245">
        <v>275350</v>
      </c>
      <c r="E11" s="246">
        <f>C11*9.5%</f>
        <v>315718.25</v>
      </c>
    </row>
    <row r="12" spans="2:5" x14ac:dyDescent="0.2">
      <c r="B12" s="244" t="s">
        <v>191</v>
      </c>
      <c r="C12" s="245">
        <f>C11-D11</f>
        <v>3048000</v>
      </c>
      <c r="D12" s="245">
        <v>291457</v>
      </c>
      <c r="E12" s="245">
        <f t="shared" ref="E12:E20" si="0">C12*9.5%</f>
        <v>289560</v>
      </c>
    </row>
    <row r="13" spans="2:5" x14ac:dyDescent="0.2">
      <c r="B13" s="244" t="s">
        <v>192</v>
      </c>
      <c r="C13" s="246">
        <f>C12-D12</f>
        <v>2756543</v>
      </c>
      <c r="D13" s="245">
        <v>310750</v>
      </c>
      <c r="E13" s="246">
        <f t="shared" si="0"/>
        <v>261871.58499999999</v>
      </c>
    </row>
    <row r="14" spans="2:5" x14ac:dyDescent="0.2">
      <c r="B14" s="244" t="s">
        <v>193</v>
      </c>
      <c r="C14" s="246">
        <f>C13-D13</f>
        <v>2445793</v>
      </c>
      <c r="D14" s="245">
        <v>340350</v>
      </c>
      <c r="E14" s="246">
        <f t="shared" si="0"/>
        <v>232350.33499999999</v>
      </c>
    </row>
    <row r="15" spans="2:5" x14ac:dyDescent="0.2">
      <c r="B15" s="244" t="s">
        <v>194</v>
      </c>
      <c r="C15" s="246">
        <f>C14-D15</f>
        <v>2085043</v>
      </c>
      <c r="D15" s="245">
        <v>360750</v>
      </c>
      <c r="E15" s="246">
        <f t="shared" si="0"/>
        <v>198079.08499999999</v>
      </c>
    </row>
    <row r="16" spans="2:5" x14ac:dyDescent="0.2">
      <c r="B16" s="244" t="s">
        <v>196</v>
      </c>
      <c r="C16" s="246">
        <f>C15-D15</f>
        <v>1724293</v>
      </c>
      <c r="D16" s="245">
        <v>380750</v>
      </c>
      <c r="E16" s="246">
        <f t="shared" si="0"/>
        <v>163807.83499999999</v>
      </c>
    </row>
    <row r="17" spans="2:5" x14ac:dyDescent="0.2">
      <c r="B17" s="244" t="s">
        <v>195</v>
      </c>
      <c r="C17" s="246">
        <f>C16-D16</f>
        <v>1343543</v>
      </c>
      <c r="D17" s="245">
        <v>400150</v>
      </c>
      <c r="E17" s="246">
        <f t="shared" si="0"/>
        <v>127636.58500000001</v>
      </c>
    </row>
    <row r="18" spans="2:5" x14ac:dyDescent="0.2">
      <c r="B18" s="244" t="s">
        <v>197</v>
      </c>
      <c r="C18" s="246">
        <f>C17-D17</f>
        <v>943393</v>
      </c>
      <c r="D18" s="245">
        <v>425750</v>
      </c>
      <c r="E18" s="246">
        <f t="shared" si="0"/>
        <v>89622.335000000006</v>
      </c>
    </row>
    <row r="19" spans="2:5" x14ac:dyDescent="0.2">
      <c r="B19" s="244" t="s">
        <v>198</v>
      </c>
      <c r="C19" s="246">
        <f>C18-D18</f>
        <v>517643</v>
      </c>
      <c r="D19" s="245">
        <v>448750</v>
      </c>
      <c r="E19" s="246">
        <f t="shared" si="0"/>
        <v>49176.084999999999</v>
      </c>
    </row>
    <row r="20" spans="2:5" x14ac:dyDescent="0.2">
      <c r="B20" s="244" t="s">
        <v>199</v>
      </c>
      <c r="C20" s="246">
        <f>D19</f>
        <v>448750</v>
      </c>
      <c r="D20" s="245">
        <f>C11-SUM(D11:D19)</f>
        <v>89293</v>
      </c>
      <c r="E20" s="246">
        <f t="shared" si="0"/>
        <v>42631.25</v>
      </c>
    </row>
    <row r="21" spans="2:5" x14ac:dyDescent="0.2">
      <c r="B21" s="257"/>
      <c r="C21" s="258">
        <f>SUM(C11:C20)</f>
        <v>18636351</v>
      </c>
      <c r="D21" s="141">
        <f>SUM(D11:D20)</f>
        <v>3323350</v>
      </c>
      <c r="E21" s="259">
        <f>SUM(E11:E20)</f>
        <v>1770453.3449999997</v>
      </c>
    </row>
  </sheetData>
  <mergeCells count="1">
    <mergeCell ref="B5:E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62"/>
  <sheetViews>
    <sheetView topLeftCell="A16" workbookViewId="0">
      <selection activeCell="C18" sqref="C18:F41"/>
    </sheetView>
  </sheetViews>
  <sheetFormatPr defaultRowHeight="12.75" x14ac:dyDescent="0.2"/>
  <cols>
    <col min="1" max="1" width="1" style="130" customWidth="1"/>
    <col min="2" max="2" width="9.140625" style="130"/>
    <col min="3" max="3" width="14.85546875" style="130" customWidth="1"/>
    <col min="4" max="4" width="19" style="130" bestFit="1" customWidth="1"/>
    <col min="5" max="5" width="11.7109375" style="130" customWidth="1"/>
    <col min="6" max="6" width="11.28515625" style="130" customWidth="1"/>
    <col min="7" max="7" width="9.140625" style="130"/>
    <col min="8" max="8" width="0.7109375" style="130" customWidth="1"/>
    <col min="9" max="9" width="11.28515625" style="130" bestFit="1" customWidth="1"/>
    <col min="10" max="10" width="9.140625" style="130"/>
    <col min="11" max="11" width="11.85546875" style="130" customWidth="1"/>
    <col min="12" max="16384" width="9.140625" style="130"/>
  </cols>
  <sheetData>
    <row r="2" spans="2:11" x14ac:dyDescent="0.2">
      <c r="B2" s="225" t="s">
        <v>143</v>
      </c>
      <c r="C2" s="226"/>
      <c r="D2" s="226"/>
      <c r="E2" s="226"/>
      <c r="F2" s="226"/>
      <c r="G2" s="227"/>
      <c r="I2" s="228" t="s">
        <v>144</v>
      </c>
      <c r="J2" s="229"/>
      <c r="K2" s="230"/>
    </row>
    <row r="3" spans="2:11" ht="3.75" customHeight="1" x14ac:dyDescent="0.2"/>
    <row r="4" spans="2:11" ht="21.75" customHeight="1" x14ac:dyDescent="0.2">
      <c r="B4" s="218" t="s">
        <v>145</v>
      </c>
      <c r="C4" s="219"/>
      <c r="D4" s="131">
        <v>765304</v>
      </c>
      <c r="F4" s="132" t="s">
        <v>146</v>
      </c>
      <c r="I4" s="231" t="s">
        <v>147</v>
      </c>
      <c r="J4" s="232"/>
      <c r="K4" s="233"/>
    </row>
    <row r="5" spans="2:11" ht="3.75" customHeight="1" x14ac:dyDescent="0.2">
      <c r="B5" s="133"/>
      <c r="C5" s="133"/>
      <c r="D5" s="11"/>
      <c r="F5" s="134"/>
      <c r="I5" s="234"/>
      <c r="J5" s="235"/>
      <c r="K5" s="236"/>
    </row>
    <row r="6" spans="2:11" ht="39" customHeight="1" x14ac:dyDescent="0.2">
      <c r="B6" s="223" t="s">
        <v>148</v>
      </c>
      <c r="C6" s="224"/>
      <c r="D6" s="135">
        <v>0.13</v>
      </c>
      <c r="F6" s="136" t="s">
        <v>146</v>
      </c>
      <c r="I6" s="237"/>
      <c r="J6" s="238"/>
      <c r="K6" s="239"/>
    </row>
    <row r="7" spans="2:11" ht="2.25" customHeight="1" x14ac:dyDescent="0.2">
      <c r="B7" s="137"/>
      <c r="C7" s="137"/>
      <c r="D7" s="138"/>
      <c r="F7" s="134"/>
    </row>
    <row r="8" spans="2:11" ht="37.5" customHeight="1" x14ac:dyDescent="0.2">
      <c r="B8" s="223" t="s">
        <v>149</v>
      </c>
      <c r="C8" s="224"/>
      <c r="D8" s="139">
        <f>D6/12</f>
        <v>1.0833333333333334E-2</v>
      </c>
      <c r="F8" s="134"/>
    </row>
    <row r="9" spans="2:11" ht="3" customHeight="1" x14ac:dyDescent="0.2">
      <c r="B9" s="137"/>
      <c r="C9" s="137"/>
      <c r="D9" s="140"/>
      <c r="F9" s="134"/>
    </row>
    <row r="10" spans="2:11" ht="18.75" customHeight="1" x14ac:dyDescent="0.2">
      <c r="B10" s="218" t="s">
        <v>150</v>
      </c>
      <c r="C10" s="219"/>
      <c r="D10" s="141">
        <v>24</v>
      </c>
      <c r="F10" s="136" t="s">
        <v>146</v>
      </c>
    </row>
    <row r="11" spans="2:11" ht="3" customHeight="1" x14ac:dyDescent="0.2">
      <c r="B11" s="133"/>
      <c r="C11" s="133"/>
      <c r="D11" s="11">
        <v>62</v>
      </c>
      <c r="F11" s="2"/>
    </row>
    <row r="12" spans="2:11" x14ac:dyDescent="0.2">
      <c r="B12" s="218" t="s">
        <v>151</v>
      </c>
      <c r="C12" s="219"/>
      <c r="D12" s="142">
        <f>-PMT(D8,D10,D4)</f>
        <v>36383.946994231912</v>
      </c>
      <c r="E12" s="143"/>
      <c r="F12" s="2"/>
    </row>
    <row r="13" spans="2:11" x14ac:dyDescent="0.2">
      <c r="B13" s="144"/>
      <c r="C13" s="144"/>
      <c r="D13" s="145"/>
      <c r="E13" s="143"/>
    </row>
    <row r="14" spans="2:11" x14ac:dyDescent="0.2">
      <c r="B14" s="220" t="s">
        <v>152</v>
      </c>
      <c r="C14" s="221"/>
      <c r="D14" s="221"/>
      <c r="E14" s="221"/>
      <c r="F14" s="222"/>
    </row>
    <row r="15" spans="2:11" ht="5.25" customHeight="1" x14ac:dyDescent="0.2">
      <c r="B15" s="2"/>
      <c r="C15" s="2"/>
      <c r="D15" s="2"/>
      <c r="E15" s="2"/>
      <c r="F15" s="2"/>
    </row>
    <row r="16" spans="2:11" ht="38.25" x14ac:dyDescent="0.2">
      <c r="B16" s="146" t="s">
        <v>153</v>
      </c>
      <c r="C16" s="147" t="s">
        <v>151</v>
      </c>
      <c r="D16" s="147" t="s">
        <v>154</v>
      </c>
      <c r="E16" s="147" t="s">
        <v>155</v>
      </c>
      <c r="F16" s="147" t="s">
        <v>156</v>
      </c>
      <c r="I16" s="148"/>
    </row>
    <row r="17" spans="2:9" x14ac:dyDescent="0.2">
      <c r="B17" s="149">
        <v>0</v>
      </c>
      <c r="C17" s="150"/>
      <c r="D17" s="150"/>
      <c r="E17" s="150"/>
      <c r="F17" s="151">
        <f>D4</f>
        <v>765304</v>
      </c>
    </row>
    <row r="18" spans="2:9" s="164" customFormat="1" x14ac:dyDescent="0.2">
      <c r="B18" s="149">
        <v>1</v>
      </c>
      <c r="C18" s="152">
        <f>D12</f>
        <v>36383.946994231912</v>
      </c>
      <c r="D18" s="153">
        <f>F17*D8</f>
        <v>8290.7933333333331</v>
      </c>
      <c r="E18" s="153">
        <f>C18-D18</f>
        <v>28093.153660898577</v>
      </c>
      <c r="F18" s="153">
        <f>F17-E18</f>
        <v>737210.84633910144</v>
      </c>
    </row>
    <row r="19" spans="2:9" s="164" customFormat="1" x14ac:dyDescent="0.2">
      <c r="B19" s="149">
        <v>2</v>
      </c>
      <c r="C19" s="152">
        <f>D12</f>
        <v>36383.946994231912</v>
      </c>
      <c r="D19" s="153">
        <f>F18*D8</f>
        <v>7986.4508353402662</v>
      </c>
      <c r="E19" s="153">
        <f>C19-D19</f>
        <v>28397.496158891645</v>
      </c>
      <c r="F19" s="153">
        <f>F18-E19</f>
        <v>708813.35018020985</v>
      </c>
    </row>
    <row r="20" spans="2:9" s="164" customFormat="1" x14ac:dyDescent="0.2">
      <c r="B20" s="149">
        <v>3</v>
      </c>
      <c r="C20" s="152">
        <f>D12</f>
        <v>36383.946994231912</v>
      </c>
      <c r="D20" s="153">
        <f>F19*D8</f>
        <v>7678.81129361894</v>
      </c>
      <c r="E20" s="153">
        <f>C20-D20</f>
        <v>28705.135700612973</v>
      </c>
      <c r="F20" s="153">
        <f>F19-E20</f>
        <v>680108.21447959682</v>
      </c>
      <c r="G20" s="163">
        <v>44986</v>
      </c>
      <c r="I20" s="165">
        <f>SUM(D18:D20)</f>
        <v>23956.055462292537</v>
      </c>
    </row>
    <row r="21" spans="2:9" s="164" customFormat="1" x14ac:dyDescent="0.2">
      <c r="B21" s="149">
        <v>4</v>
      </c>
      <c r="C21" s="152">
        <f>D12</f>
        <v>36383.946994231912</v>
      </c>
      <c r="D21" s="153">
        <f>F20*D8</f>
        <v>7367.8389901956325</v>
      </c>
      <c r="E21" s="153">
        <f t="shared" ref="E21:E28" si="0">C21-D21</f>
        <v>29016.108004036279</v>
      </c>
      <c r="F21" s="153">
        <f t="shared" ref="F21:F28" si="1">F20-E21</f>
        <v>651092.10647556058</v>
      </c>
    </row>
    <row r="22" spans="2:9" s="164" customFormat="1" x14ac:dyDescent="0.2">
      <c r="B22" s="149">
        <v>5</v>
      </c>
      <c r="C22" s="152">
        <f>D12</f>
        <v>36383.946994231912</v>
      </c>
      <c r="D22" s="153">
        <f>F21*D8</f>
        <v>7053.4978201519061</v>
      </c>
      <c r="E22" s="153">
        <f t="shared" si="0"/>
        <v>29330.449174080008</v>
      </c>
      <c r="F22" s="153">
        <f t="shared" si="1"/>
        <v>621761.65730148053</v>
      </c>
    </row>
    <row r="23" spans="2:9" s="164" customFormat="1" x14ac:dyDescent="0.2">
      <c r="B23" s="149">
        <v>6</v>
      </c>
      <c r="C23" s="152">
        <f>D12</f>
        <v>36383.946994231912</v>
      </c>
      <c r="D23" s="153">
        <f>F22*D8</f>
        <v>6735.7512874327058</v>
      </c>
      <c r="E23" s="153">
        <f t="shared" si="0"/>
        <v>29648.195706799204</v>
      </c>
      <c r="F23" s="153">
        <f t="shared" si="1"/>
        <v>592113.46159468137</v>
      </c>
    </row>
    <row r="24" spans="2:9" s="164" customFormat="1" x14ac:dyDescent="0.2">
      <c r="B24" s="149">
        <v>7</v>
      </c>
      <c r="C24" s="152">
        <f>D12</f>
        <v>36383.946994231912</v>
      </c>
      <c r="D24" s="153">
        <f>F23*D8</f>
        <v>6414.5625006090486</v>
      </c>
      <c r="E24" s="153">
        <f t="shared" si="0"/>
        <v>29969.384493622863</v>
      </c>
      <c r="F24" s="153">
        <f t="shared" si="1"/>
        <v>562144.07710105856</v>
      </c>
    </row>
    <row r="25" spans="2:9" s="164" customFormat="1" x14ac:dyDescent="0.2">
      <c r="B25" s="149">
        <v>8</v>
      </c>
      <c r="C25" s="152">
        <f>D12</f>
        <v>36383.946994231912</v>
      </c>
      <c r="D25" s="153">
        <f>F24*D8</f>
        <v>6089.8941685948012</v>
      </c>
      <c r="E25" s="153">
        <f t="shared" si="0"/>
        <v>30294.052825637111</v>
      </c>
      <c r="F25" s="153">
        <f t="shared" si="1"/>
        <v>531850.0242754214</v>
      </c>
    </row>
    <row r="26" spans="2:9" s="164" customFormat="1" x14ac:dyDescent="0.2">
      <c r="B26" s="149">
        <v>9</v>
      </c>
      <c r="C26" s="152">
        <f>D12</f>
        <v>36383.946994231912</v>
      </c>
      <c r="D26" s="153">
        <f>F25*D8</f>
        <v>5761.7085963170657</v>
      </c>
      <c r="E26" s="153">
        <f t="shared" si="0"/>
        <v>30622.238397914847</v>
      </c>
      <c r="F26" s="153">
        <f t="shared" si="1"/>
        <v>501227.78587750654</v>
      </c>
    </row>
    <row r="27" spans="2:9" s="164" customFormat="1" x14ac:dyDescent="0.2">
      <c r="B27" s="149">
        <v>10</v>
      </c>
      <c r="C27" s="152">
        <f>D12</f>
        <v>36383.946994231912</v>
      </c>
      <c r="D27" s="153">
        <f>F26*D8</f>
        <v>5429.9676803396542</v>
      </c>
      <c r="E27" s="153">
        <f t="shared" si="0"/>
        <v>30953.979313892258</v>
      </c>
      <c r="F27" s="153">
        <f t="shared" si="1"/>
        <v>470273.80656361429</v>
      </c>
    </row>
    <row r="28" spans="2:9" s="164" customFormat="1" x14ac:dyDescent="0.2">
      <c r="B28" s="149">
        <v>11</v>
      </c>
      <c r="C28" s="152">
        <f>D12</f>
        <v>36383.946994231912</v>
      </c>
      <c r="D28" s="153">
        <f>F27*D8</f>
        <v>5094.632904439155</v>
      </c>
      <c r="E28" s="153">
        <f t="shared" si="0"/>
        <v>31289.314089792759</v>
      </c>
      <c r="F28" s="153">
        <f t="shared" si="1"/>
        <v>438984.4924738215</v>
      </c>
      <c r="G28" s="163"/>
      <c r="I28" s="165"/>
    </row>
    <row r="29" spans="2:9" s="164" customFormat="1" x14ac:dyDescent="0.2">
      <c r="B29" s="149">
        <v>12</v>
      </c>
      <c r="C29" s="152">
        <f>D12</f>
        <v>36383.946994231912</v>
      </c>
      <c r="D29" s="153">
        <f>F28*D8</f>
        <v>4755.665335133066</v>
      </c>
      <c r="E29" s="153">
        <f>C29-D29</f>
        <v>31628.281659098844</v>
      </c>
      <c r="F29" s="153">
        <f>F28-E29</f>
        <v>407356.21081472264</v>
      </c>
      <c r="I29" s="165"/>
    </row>
    <row r="30" spans="2:9" s="164" customFormat="1" x14ac:dyDescent="0.2">
      <c r="B30" s="149">
        <v>13</v>
      </c>
      <c r="C30" s="152">
        <f>D12</f>
        <v>36383.946994231912</v>
      </c>
      <c r="D30" s="159">
        <f>F29*D8</f>
        <v>4413.0256171594956</v>
      </c>
      <c r="E30" s="153">
        <f t="shared" ref="E30:E77" si="2">C30-D30</f>
        <v>31970.921377072416</v>
      </c>
      <c r="F30" s="153">
        <f t="shared" ref="F30:F76" si="3">F29-E30</f>
        <v>375385.28943765024</v>
      </c>
    </row>
    <row r="31" spans="2:9" s="164" customFormat="1" x14ac:dyDescent="0.2">
      <c r="B31" s="149">
        <v>14</v>
      </c>
      <c r="C31" s="152">
        <f>D12</f>
        <v>36383.946994231912</v>
      </c>
      <c r="D31" s="159">
        <f>F30*D8</f>
        <v>4066.6739689078777</v>
      </c>
      <c r="E31" s="153">
        <f t="shared" si="2"/>
        <v>32317.273025324033</v>
      </c>
      <c r="F31" s="153">
        <f t="shared" si="3"/>
        <v>343068.01641232619</v>
      </c>
    </row>
    <row r="32" spans="2:9" s="164" customFormat="1" x14ac:dyDescent="0.2">
      <c r="B32" s="149">
        <v>15</v>
      </c>
      <c r="C32" s="152">
        <f>D12</f>
        <v>36383.946994231912</v>
      </c>
      <c r="D32" s="159">
        <f>F31*D8</f>
        <v>3716.5701778002003</v>
      </c>
      <c r="E32" s="153">
        <f t="shared" si="2"/>
        <v>32667.376816431712</v>
      </c>
      <c r="F32" s="153">
        <f t="shared" si="3"/>
        <v>310400.63959589449</v>
      </c>
      <c r="G32" s="163">
        <v>45352</v>
      </c>
      <c r="I32" s="165">
        <f>SUM(D21:D32)</f>
        <v>66899.789047080616</v>
      </c>
    </row>
    <row r="33" spans="2:9" s="164" customFormat="1" x14ac:dyDescent="0.2">
      <c r="B33" s="149">
        <v>16</v>
      </c>
      <c r="C33" s="152">
        <f>D12</f>
        <v>36383.946994231912</v>
      </c>
      <c r="D33" s="159">
        <f>F32*D8</f>
        <v>3362.6735956221905</v>
      </c>
      <c r="E33" s="153">
        <f t="shared" si="2"/>
        <v>33021.273398609723</v>
      </c>
      <c r="F33" s="153">
        <f t="shared" si="3"/>
        <v>277379.36619728478</v>
      </c>
    </row>
    <row r="34" spans="2:9" s="164" customFormat="1" x14ac:dyDescent="0.2">
      <c r="B34" s="149">
        <v>17</v>
      </c>
      <c r="C34" s="152">
        <f>D12</f>
        <v>36383.946994231912</v>
      </c>
      <c r="D34" s="159">
        <f>F33*D8</f>
        <v>3004.9431338039185</v>
      </c>
      <c r="E34" s="153">
        <f t="shared" si="2"/>
        <v>33379.003860427991</v>
      </c>
      <c r="F34" s="153">
        <f t="shared" si="3"/>
        <v>244000.36233685678</v>
      </c>
    </row>
    <row r="35" spans="2:9" s="164" customFormat="1" x14ac:dyDescent="0.2">
      <c r="B35" s="149">
        <v>18</v>
      </c>
      <c r="C35" s="152">
        <f>D12</f>
        <v>36383.946994231912</v>
      </c>
      <c r="D35" s="159">
        <f>F34*D8</f>
        <v>2643.3372586492819</v>
      </c>
      <c r="E35" s="153">
        <f t="shared" si="2"/>
        <v>33740.609735582628</v>
      </c>
      <c r="F35" s="153">
        <f t="shared" si="3"/>
        <v>210259.75260127414</v>
      </c>
    </row>
    <row r="36" spans="2:9" s="164" customFormat="1" x14ac:dyDescent="0.2">
      <c r="B36" s="149">
        <v>19</v>
      </c>
      <c r="C36" s="152">
        <f>D12</f>
        <v>36383.946994231912</v>
      </c>
      <c r="D36" s="159">
        <f>F35*D8</f>
        <v>2277.8139865138032</v>
      </c>
      <c r="E36" s="153">
        <f t="shared" si="2"/>
        <v>34106.133007718112</v>
      </c>
      <c r="F36" s="153">
        <f t="shared" si="3"/>
        <v>176153.61959355604</v>
      </c>
    </row>
    <row r="37" spans="2:9" s="164" customFormat="1" x14ac:dyDescent="0.2">
      <c r="B37" s="149">
        <v>20</v>
      </c>
      <c r="C37" s="152">
        <f>D12</f>
        <v>36383.946994231912</v>
      </c>
      <c r="D37" s="159">
        <f>F36*D8</f>
        <v>1908.3308789301905</v>
      </c>
      <c r="E37" s="153">
        <f t="shared" si="2"/>
        <v>34475.616115301724</v>
      </c>
      <c r="F37" s="153">
        <f t="shared" si="3"/>
        <v>141678.00347825431</v>
      </c>
    </row>
    <row r="38" spans="2:9" s="164" customFormat="1" x14ac:dyDescent="0.2">
      <c r="B38" s="149">
        <v>21</v>
      </c>
      <c r="C38" s="152">
        <f>D12</f>
        <v>36383.946994231912</v>
      </c>
      <c r="D38" s="159">
        <f>F37*D8</f>
        <v>1534.8450376810883</v>
      </c>
      <c r="E38" s="153">
        <f t="shared" si="2"/>
        <v>34849.101956550825</v>
      </c>
      <c r="F38" s="153">
        <f t="shared" si="3"/>
        <v>106828.90152170349</v>
      </c>
    </row>
    <row r="39" spans="2:9" s="164" customFormat="1" x14ac:dyDescent="0.2">
      <c r="B39" s="149">
        <v>22</v>
      </c>
      <c r="C39" s="152">
        <f>D12</f>
        <v>36383.946994231912</v>
      </c>
      <c r="D39" s="159">
        <f>F38*D8</f>
        <v>1157.3130998184545</v>
      </c>
      <c r="E39" s="153">
        <f t="shared" si="2"/>
        <v>35226.633894413455</v>
      </c>
      <c r="F39" s="153">
        <f t="shared" si="3"/>
        <v>71602.267627290043</v>
      </c>
    </row>
    <row r="40" spans="2:9" s="164" customFormat="1" x14ac:dyDescent="0.2">
      <c r="B40" s="149">
        <v>23</v>
      </c>
      <c r="C40" s="152">
        <f>D12</f>
        <v>36383.946994231912</v>
      </c>
      <c r="D40" s="159">
        <f>F39*D8</f>
        <v>775.69123262897551</v>
      </c>
      <c r="E40" s="153">
        <f t="shared" si="2"/>
        <v>35608.255761602937</v>
      </c>
      <c r="F40" s="153">
        <f t="shared" si="3"/>
        <v>35994.011865687105</v>
      </c>
      <c r="G40" s="163"/>
      <c r="I40" s="165"/>
    </row>
    <row r="41" spans="2:9" s="178" customFormat="1" x14ac:dyDescent="0.2">
      <c r="B41" s="155">
        <v>24</v>
      </c>
      <c r="C41" s="156">
        <f>D12</f>
        <v>36383.946994231912</v>
      </c>
      <c r="D41" s="160">
        <f>F40*D8</f>
        <v>389.93512854494367</v>
      </c>
      <c r="E41" s="157">
        <f t="shared" si="2"/>
        <v>35994.011865686967</v>
      </c>
      <c r="F41" s="157">
        <f t="shared" si="3"/>
        <v>1.3824319466948509E-10</v>
      </c>
      <c r="I41" s="179"/>
    </row>
    <row r="42" spans="2:9" s="164" customFormat="1" x14ac:dyDescent="0.2">
      <c r="B42" s="149">
        <v>25</v>
      </c>
      <c r="C42" s="152">
        <f>D12</f>
        <v>36383.946994231912</v>
      </c>
      <c r="D42" s="159">
        <f>F41*D8</f>
        <v>1.4976346089194219E-12</v>
      </c>
      <c r="E42" s="153">
        <f t="shared" si="2"/>
        <v>36383.946994231912</v>
      </c>
      <c r="F42" s="153">
        <f t="shared" si="3"/>
        <v>-36383.946994231774</v>
      </c>
    </row>
    <row r="43" spans="2:9" s="164" customFormat="1" x14ac:dyDescent="0.2">
      <c r="B43" s="149">
        <v>26</v>
      </c>
      <c r="C43" s="152">
        <f>D12</f>
        <v>36383.946994231912</v>
      </c>
      <c r="D43" s="159">
        <f>F42*D8</f>
        <v>-394.15942577084422</v>
      </c>
      <c r="E43" s="153">
        <f t="shared" si="2"/>
        <v>36778.106420002754</v>
      </c>
      <c r="F43" s="153">
        <f t="shared" si="3"/>
        <v>-73162.053414234528</v>
      </c>
    </row>
    <row r="44" spans="2:9" s="164" customFormat="1" x14ac:dyDescent="0.2">
      <c r="B44" s="149">
        <v>27</v>
      </c>
      <c r="C44" s="152">
        <f>D12</f>
        <v>36383.946994231912</v>
      </c>
      <c r="D44" s="159">
        <f>F43*D8</f>
        <v>-792.58891198754077</v>
      </c>
      <c r="E44" s="153">
        <f t="shared" si="2"/>
        <v>37176.535906219455</v>
      </c>
      <c r="F44" s="153">
        <f t="shared" si="3"/>
        <v>-110338.58932045399</v>
      </c>
      <c r="G44" s="163">
        <v>45717</v>
      </c>
      <c r="I44" s="165">
        <f>SUM(D33:D44)</f>
        <v>15868.135014434463</v>
      </c>
    </row>
    <row r="45" spans="2:9" s="164" customFormat="1" x14ac:dyDescent="0.2">
      <c r="B45" s="149">
        <v>28</v>
      </c>
      <c r="C45" s="152">
        <f>D12</f>
        <v>36383.946994231912</v>
      </c>
      <c r="D45" s="159">
        <f>F44*D8</f>
        <v>-1195.3347176382515</v>
      </c>
      <c r="E45" s="153">
        <f t="shared" si="2"/>
        <v>37579.281711870164</v>
      </c>
      <c r="F45" s="153">
        <f t="shared" si="3"/>
        <v>-147917.87103232415</v>
      </c>
    </row>
    <row r="46" spans="2:9" s="164" customFormat="1" x14ac:dyDescent="0.2">
      <c r="B46" s="149">
        <v>29</v>
      </c>
      <c r="C46" s="152">
        <f>D12</f>
        <v>36383.946994231912</v>
      </c>
      <c r="D46" s="159">
        <f>F45*D8</f>
        <v>-1602.4436028501784</v>
      </c>
      <c r="E46" s="153">
        <f t="shared" si="2"/>
        <v>37986.390597082092</v>
      </c>
      <c r="F46" s="153">
        <f t="shared" si="3"/>
        <v>-185904.26162940625</v>
      </c>
    </row>
    <row r="47" spans="2:9" s="164" customFormat="1" x14ac:dyDescent="0.2">
      <c r="B47" s="149">
        <v>30</v>
      </c>
      <c r="C47" s="152">
        <f>D12</f>
        <v>36383.946994231912</v>
      </c>
      <c r="D47" s="159">
        <f>F46*D8</f>
        <v>-2013.9628343185677</v>
      </c>
      <c r="E47" s="153">
        <f t="shared" si="2"/>
        <v>38397.909828550481</v>
      </c>
      <c r="F47" s="153">
        <f t="shared" si="3"/>
        <v>-224302.17145795672</v>
      </c>
    </row>
    <row r="48" spans="2:9" s="164" customFormat="1" x14ac:dyDescent="0.2">
      <c r="B48" s="149">
        <v>31</v>
      </c>
      <c r="C48" s="152">
        <f>D12</f>
        <v>36383.946994231912</v>
      </c>
      <c r="D48" s="159">
        <f>F47*D8</f>
        <v>-2429.9401907945312</v>
      </c>
      <c r="E48" s="153">
        <f t="shared" si="2"/>
        <v>38813.88718502644</v>
      </c>
      <c r="F48" s="153">
        <f t="shared" si="3"/>
        <v>-263116.05864298315</v>
      </c>
    </row>
    <row r="49" spans="2:9" s="164" customFormat="1" x14ac:dyDescent="0.2">
      <c r="B49" s="149">
        <v>32</v>
      </c>
      <c r="C49" s="152">
        <f>D12</f>
        <v>36383.946994231912</v>
      </c>
      <c r="D49" s="159">
        <f>F48*D8</f>
        <v>-2850.4239686323176</v>
      </c>
      <c r="E49" s="153">
        <f t="shared" si="2"/>
        <v>39234.370962864232</v>
      </c>
      <c r="F49" s="153">
        <f t="shared" si="3"/>
        <v>-302350.4296058474</v>
      </c>
    </row>
    <row r="50" spans="2:9" s="164" customFormat="1" x14ac:dyDescent="0.2">
      <c r="B50" s="149">
        <v>33</v>
      </c>
      <c r="C50" s="152">
        <f>D12</f>
        <v>36383.946994231912</v>
      </c>
      <c r="D50" s="159">
        <f>F49*D8</f>
        <v>-3275.4629873966801</v>
      </c>
      <c r="E50" s="153">
        <f t="shared" si="2"/>
        <v>39659.409981628589</v>
      </c>
      <c r="F50" s="153">
        <f t="shared" si="3"/>
        <v>-342009.83958747599</v>
      </c>
    </row>
    <row r="51" spans="2:9" s="164" customFormat="1" x14ac:dyDescent="0.2">
      <c r="B51" s="149">
        <v>34</v>
      </c>
      <c r="C51" s="152">
        <f>D12</f>
        <v>36383.946994231912</v>
      </c>
      <c r="D51" s="159">
        <f>F50*D8</f>
        <v>-3705.10659553099</v>
      </c>
      <c r="E51" s="153">
        <f t="shared" si="2"/>
        <v>40089.053589762902</v>
      </c>
      <c r="F51" s="153">
        <f t="shared" si="3"/>
        <v>-382098.89317723888</v>
      </c>
    </row>
    <row r="52" spans="2:9" s="164" customFormat="1" x14ac:dyDescent="0.2">
      <c r="B52" s="149">
        <v>35</v>
      </c>
      <c r="C52" s="152">
        <f>D12</f>
        <v>36383.946994231912</v>
      </c>
      <c r="D52" s="159">
        <f>F51*D8</f>
        <v>-4139.404676086755</v>
      </c>
      <c r="E52" s="153">
        <f t="shared" si="2"/>
        <v>40523.351670318669</v>
      </c>
      <c r="F52" s="153">
        <f t="shared" si="3"/>
        <v>-422622.24484755757</v>
      </c>
      <c r="G52" s="163"/>
      <c r="I52" s="165"/>
    </row>
    <row r="53" spans="2:9" s="164" customFormat="1" x14ac:dyDescent="0.2">
      <c r="B53" s="149">
        <v>36</v>
      </c>
      <c r="C53" s="152">
        <f>D12</f>
        <v>36383.946994231912</v>
      </c>
      <c r="D53" s="159">
        <f>F52*D8</f>
        <v>-4578.4076525152068</v>
      </c>
      <c r="E53" s="153">
        <f t="shared" si="2"/>
        <v>40962.354646747117</v>
      </c>
      <c r="F53" s="153">
        <f t="shared" si="3"/>
        <v>-463584.59949430468</v>
      </c>
      <c r="I53" s="165"/>
    </row>
    <row r="54" spans="2:9" s="164" customFormat="1" x14ac:dyDescent="0.2">
      <c r="B54" s="149">
        <v>37</v>
      </c>
      <c r="C54" s="152">
        <f>D12</f>
        <v>36383.946994231912</v>
      </c>
      <c r="D54" s="159">
        <f>F53*D8</f>
        <v>-5022.1664945216344</v>
      </c>
      <c r="E54" s="153">
        <f t="shared" si="2"/>
        <v>41406.113488753545</v>
      </c>
      <c r="F54" s="153">
        <f t="shared" si="3"/>
        <v>-504990.71298305824</v>
      </c>
    </row>
    <row r="55" spans="2:9" s="164" customFormat="1" x14ac:dyDescent="0.2">
      <c r="B55" s="149">
        <v>38</v>
      </c>
      <c r="C55" s="152">
        <f t="shared" ref="C55:C101" si="4">$D$12</f>
        <v>36383.946994231912</v>
      </c>
      <c r="D55" s="159">
        <f>F54*D8</f>
        <v>-5470.7327239831311</v>
      </c>
      <c r="E55" s="153">
        <f t="shared" si="2"/>
        <v>41854.67971821504</v>
      </c>
      <c r="F55" s="153">
        <f t="shared" si="3"/>
        <v>-546845.39270127332</v>
      </c>
    </row>
    <row r="56" spans="2:9" s="164" customFormat="1" x14ac:dyDescent="0.2">
      <c r="B56" s="149">
        <v>39</v>
      </c>
      <c r="C56" s="152">
        <f t="shared" si="4"/>
        <v>36383.946994231912</v>
      </c>
      <c r="D56" s="159">
        <f>F55*D8</f>
        <v>-5924.158420930461</v>
      </c>
      <c r="E56" s="153">
        <f t="shared" si="2"/>
        <v>42308.105415162376</v>
      </c>
      <c r="F56" s="153">
        <f t="shared" si="3"/>
        <v>-589153.49811643572</v>
      </c>
      <c r="G56" s="163">
        <v>46082</v>
      </c>
      <c r="I56" s="165">
        <f>SUM(D45:D56)</f>
        <v>-42207.544865198703</v>
      </c>
    </row>
    <row r="57" spans="2:9" s="164" customFormat="1" x14ac:dyDescent="0.2">
      <c r="B57" s="149">
        <v>40</v>
      </c>
      <c r="C57" s="152">
        <f t="shared" si="4"/>
        <v>36383.946994231912</v>
      </c>
      <c r="D57" s="159">
        <f>F56*D8</f>
        <v>-6382.4962295947207</v>
      </c>
      <c r="E57" s="153">
        <f t="shared" si="2"/>
        <v>42766.443223826631</v>
      </c>
      <c r="F57" s="153">
        <f t="shared" si="3"/>
        <v>-631919.9413402623</v>
      </c>
    </row>
    <row r="58" spans="2:9" s="164" customFormat="1" x14ac:dyDescent="0.2">
      <c r="B58" s="149">
        <v>41</v>
      </c>
      <c r="C58" s="152">
        <f t="shared" si="4"/>
        <v>36383.946994231912</v>
      </c>
      <c r="D58" s="159">
        <f>F57*D8</f>
        <v>-6845.7993645195083</v>
      </c>
      <c r="E58" s="153">
        <f t="shared" si="2"/>
        <v>43229.746358751421</v>
      </c>
      <c r="F58" s="153">
        <f t="shared" si="3"/>
        <v>-675149.68769901374</v>
      </c>
    </row>
    <row r="59" spans="2:9" s="164" customFormat="1" x14ac:dyDescent="0.2">
      <c r="B59" s="149">
        <v>42</v>
      </c>
      <c r="C59" s="152">
        <f t="shared" si="4"/>
        <v>36383.946994231912</v>
      </c>
      <c r="D59" s="159">
        <f>F58*D8</f>
        <v>-7314.1216167393159</v>
      </c>
      <c r="E59" s="153">
        <f t="shared" si="2"/>
        <v>43698.068610971226</v>
      </c>
      <c r="F59" s="153">
        <f t="shared" si="3"/>
        <v>-718847.75630998495</v>
      </c>
    </row>
    <row r="60" spans="2:9" s="164" customFormat="1" x14ac:dyDescent="0.2">
      <c r="B60" s="149">
        <v>43</v>
      </c>
      <c r="C60" s="152">
        <f t="shared" si="4"/>
        <v>36383.946994231912</v>
      </c>
      <c r="D60" s="159">
        <f>F59*D8</f>
        <v>-7787.5173600248372</v>
      </c>
      <c r="E60" s="153">
        <f t="shared" si="2"/>
        <v>44171.46435425675</v>
      </c>
      <c r="F60" s="153">
        <f t="shared" si="3"/>
        <v>-763019.2206642417</v>
      </c>
    </row>
    <row r="61" spans="2:9" s="164" customFormat="1" x14ac:dyDescent="0.2">
      <c r="B61" s="149">
        <v>44</v>
      </c>
      <c r="C61" s="152">
        <f t="shared" si="4"/>
        <v>36383.946994231912</v>
      </c>
      <c r="D61" s="159">
        <f>F60*D8</f>
        <v>-8266.0415571959529</v>
      </c>
      <c r="E61" s="153">
        <f t="shared" si="2"/>
        <v>44649.988551427865</v>
      </c>
      <c r="F61" s="153">
        <f t="shared" si="3"/>
        <v>-807669.20921566954</v>
      </c>
    </row>
    <row r="62" spans="2:9" s="164" customFormat="1" x14ac:dyDescent="0.2">
      <c r="B62" s="149">
        <v>45</v>
      </c>
      <c r="C62" s="152">
        <f t="shared" si="4"/>
        <v>36383.946994231912</v>
      </c>
      <c r="D62" s="159">
        <f>F61*D8</f>
        <v>-8749.7497665030878</v>
      </c>
      <c r="E62" s="153">
        <f t="shared" si="2"/>
        <v>45133.696760735002</v>
      </c>
      <c r="F62" s="153">
        <f t="shared" si="3"/>
        <v>-852802.90597640455</v>
      </c>
    </row>
    <row r="63" spans="2:9" s="164" customFormat="1" x14ac:dyDescent="0.2">
      <c r="B63" s="149">
        <v>46</v>
      </c>
      <c r="C63" s="152">
        <f t="shared" si="4"/>
        <v>36383.946994231912</v>
      </c>
      <c r="D63" s="159">
        <f>F62*D8</f>
        <v>-9238.6981480777158</v>
      </c>
      <c r="E63" s="153">
        <f t="shared" si="2"/>
        <v>45622.64514230963</v>
      </c>
      <c r="F63" s="153">
        <f t="shared" si="3"/>
        <v>-898425.55111871415</v>
      </c>
    </row>
    <row r="64" spans="2:9" s="164" customFormat="1" x14ac:dyDescent="0.2">
      <c r="B64" s="149">
        <v>47</v>
      </c>
      <c r="C64" s="152">
        <f t="shared" si="4"/>
        <v>36383.946994231912</v>
      </c>
      <c r="D64" s="159">
        <f>F63*D8</f>
        <v>-9732.9434704527375</v>
      </c>
      <c r="E64" s="153">
        <f t="shared" si="2"/>
        <v>46116.890464684649</v>
      </c>
      <c r="F64" s="153">
        <f t="shared" si="3"/>
        <v>-944542.44158339885</v>
      </c>
      <c r="G64" s="163"/>
      <c r="I64" s="165"/>
    </row>
    <row r="65" spans="2:9" s="164" customFormat="1" x14ac:dyDescent="0.2">
      <c r="B65" s="149">
        <v>48</v>
      </c>
      <c r="C65" s="152">
        <f t="shared" si="4"/>
        <v>36383.946994231912</v>
      </c>
      <c r="D65" s="159">
        <f>F64*D8</f>
        <v>-10232.543117153487</v>
      </c>
      <c r="E65" s="153">
        <f t="shared" si="2"/>
        <v>46616.490111385399</v>
      </c>
      <c r="F65" s="153">
        <f t="shared" si="3"/>
        <v>-991158.9316947842</v>
      </c>
      <c r="I65" s="165"/>
    </row>
    <row r="66" spans="2:9" s="164" customFormat="1" x14ac:dyDescent="0.2">
      <c r="B66" s="149">
        <v>49</v>
      </c>
      <c r="C66" s="152">
        <f t="shared" si="4"/>
        <v>36383.946994231912</v>
      </c>
      <c r="D66" s="159">
        <f>F65*D8</f>
        <v>-10737.555093360163</v>
      </c>
      <c r="E66" s="153">
        <f t="shared" si="2"/>
        <v>47121.502087592075</v>
      </c>
      <c r="F66" s="153">
        <f t="shared" si="3"/>
        <v>-1038280.4337823762</v>
      </c>
    </row>
    <row r="67" spans="2:9" s="164" customFormat="1" x14ac:dyDescent="0.2">
      <c r="B67" s="149">
        <v>50</v>
      </c>
      <c r="C67" s="152">
        <f t="shared" si="4"/>
        <v>36383.946994231912</v>
      </c>
      <c r="D67" s="159">
        <f>F66*D8</f>
        <v>-11248.038032642409</v>
      </c>
      <c r="E67" s="153">
        <f t="shared" si="2"/>
        <v>47631.985026874318</v>
      </c>
      <c r="F67" s="153">
        <f t="shared" si="3"/>
        <v>-1085912.4188092505</v>
      </c>
    </row>
    <row r="68" spans="2:9" s="164" customFormat="1" x14ac:dyDescent="0.2">
      <c r="B68" s="149">
        <v>51</v>
      </c>
      <c r="C68" s="152">
        <f t="shared" si="4"/>
        <v>36383.946994231912</v>
      </c>
      <c r="D68" s="159">
        <f>F67*D8</f>
        <v>-11764.05120376688</v>
      </c>
      <c r="E68" s="153">
        <f t="shared" si="2"/>
        <v>48147.998197998793</v>
      </c>
      <c r="F68" s="153">
        <f t="shared" si="3"/>
        <v>-1134060.4170072493</v>
      </c>
      <c r="G68" s="163">
        <v>46447</v>
      </c>
      <c r="I68" s="165">
        <f>SUM(D57:D68)</f>
        <v>-108299.55496003081</v>
      </c>
    </row>
    <row r="69" spans="2:9" s="164" customFormat="1" x14ac:dyDescent="0.2">
      <c r="B69" s="149">
        <v>52</v>
      </c>
      <c r="C69" s="152">
        <f t="shared" si="4"/>
        <v>36383.946994231912</v>
      </c>
      <c r="D69" s="159">
        <f>F68*D8</f>
        <v>-12285.654517578534</v>
      </c>
      <c r="E69" s="153">
        <f t="shared" si="2"/>
        <v>48669.601511810448</v>
      </c>
      <c r="F69" s="153">
        <f t="shared" si="3"/>
        <v>-1182730.0185190598</v>
      </c>
    </row>
    <row r="70" spans="2:9" s="164" customFormat="1" x14ac:dyDescent="0.2">
      <c r="B70" s="149">
        <v>53</v>
      </c>
      <c r="C70" s="152">
        <f t="shared" si="4"/>
        <v>36383.946994231912</v>
      </c>
      <c r="D70" s="159">
        <f>F69*D8</f>
        <v>-12812.908533956481</v>
      </c>
      <c r="E70" s="153">
        <f t="shared" si="2"/>
        <v>49196.855528188389</v>
      </c>
      <c r="F70" s="153">
        <f t="shared" si="3"/>
        <v>-1231926.8740472482</v>
      </c>
    </row>
    <row r="71" spans="2:9" s="164" customFormat="1" x14ac:dyDescent="0.2">
      <c r="B71" s="149">
        <v>54</v>
      </c>
      <c r="C71" s="152">
        <f t="shared" si="4"/>
        <v>36383.946994231912</v>
      </c>
      <c r="D71" s="159">
        <f>F70*D8</f>
        <v>-13345.874468845188</v>
      </c>
      <c r="E71" s="153">
        <f t="shared" si="2"/>
        <v>49729.821463077096</v>
      </c>
      <c r="F71" s="153">
        <f t="shared" si="3"/>
        <v>-1281656.6955103253</v>
      </c>
    </row>
    <row r="72" spans="2:9" s="164" customFormat="1" x14ac:dyDescent="0.2">
      <c r="B72" s="149">
        <v>55</v>
      </c>
      <c r="C72" s="152">
        <f t="shared" si="4"/>
        <v>36383.946994231912</v>
      </c>
      <c r="D72" s="159">
        <f>F71*D8</f>
        <v>-13884.614201361857</v>
      </c>
      <c r="E72" s="153">
        <f t="shared" si="2"/>
        <v>50268.561195593771</v>
      </c>
      <c r="F72" s="153">
        <f t="shared" si="3"/>
        <v>-1331925.256705919</v>
      </c>
    </row>
    <row r="73" spans="2:9" s="164" customFormat="1" x14ac:dyDescent="0.2">
      <c r="B73" s="149">
        <v>56</v>
      </c>
      <c r="C73" s="152">
        <f t="shared" si="4"/>
        <v>36383.946994231912</v>
      </c>
      <c r="D73" s="159">
        <f>F72*D8</f>
        <v>-14429.190280980791</v>
      </c>
      <c r="E73" s="153">
        <f t="shared" si="2"/>
        <v>50813.137275212706</v>
      </c>
      <c r="F73" s="153">
        <f t="shared" si="3"/>
        <v>-1382738.3939811317</v>
      </c>
    </row>
    <row r="74" spans="2:9" s="164" customFormat="1" x14ac:dyDescent="0.2">
      <c r="B74" s="149">
        <v>57</v>
      </c>
      <c r="C74" s="152">
        <f t="shared" si="4"/>
        <v>36383.946994231912</v>
      </c>
      <c r="D74" s="159">
        <f>F73*D8</f>
        <v>-14979.665934795594</v>
      </c>
      <c r="E74" s="153">
        <f t="shared" si="2"/>
        <v>51363.612929027506</v>
      </c>
      <c r="F74" s="153">
        <f t="shared" si="3"/>
        <v>-1434102.0069101593</v>
      </c>
    </row>
    <row r="75" spans="2:9" s="164" customFormat="1" x14ac:dyDescent="0.2">
      <c r="B75" s="149">
        <v>58</v>
      </c>
      <c r="C75" s="152">
        <f t="shared" si="4"/>
        <v>36383.946994231912</v>
      </c>
      <c r="D75" s="159">
        <f>F74*D8</f>
        <v>-15536.105074860059</v>
      </c>
      <c r="E75" s="153">
        <f t="shared" si="2"/>
        <v>51920.052069091973</v>
      </c>
      <c r="F75" s="153">
        <f t="shared" si="3"/>
        <v>-1486022.0589792512</v>
      </c>
    </row>
    <row r="76" spans="2:9" s="164" customFormat="1" x14ac:dyDescent="0.2">
      <c r="B76" s="149">
        <v>59</v>
      </c>
      <c r="C76" s="152">
        <f t="shared" si="4"/>
        <v>36383.946994231912</v>
      </c>
      <c r="D76" s="159">
        <f>F75*D8</f>
        <v>-16098.572305608555</v>
      </c>
      <c r="E76" s="153">
        <f t="shared" si="2"/>
        <v>52482.519299840467</v>
      </c>
      <c r="F76" s="153">
        <f t="shared" si="3"/>
        <v>-1538504.5782790917</v>
      </c>
      <c r="G76" s="163"/>
      <c r="I76" s="165"/>
    </row>
    <row r="77" spans="2:9" s="164" customFormat="1" x14ac:dyDescent="0.2">
      <c r="B77" s="149">
        <v>60</v>
      </c>
      <c r="C77" s="152">
        <f t="shared" si="4"/>
        <v>36383.946994231912</v>
      </c>
      <c r="D77" s="159">
        <f>F76*D8</f>
        <v>-16667.132931356828</v>
      </c>
      <c r="E77" s="153">
        <f t="shared" si="2"/>
        <v>53051.07992558874</v>
      </c>
      <c r="F77" s="153">
        <f>F76-E77</f>
        <v>-1591555.6582046805</v>
      </c>
      <c r="G77" s="163">
        <v>46813</v>
      </c>
      <c r="I77" s="165">
        <f>SUM(D69:D77)</f>
        <v>-130039.71824934387</v>
      </c>
    </row>
    <row r="78" spans="2:9" x14ac:dyDescent="0.2">
      <c r="B78" s="149">
        <v>61</v>
      </c>
      <c r="C78" s="175">
        <f t="shared" si="4"/>
        <v>36383.946994231912</v>
      </c>
      <c r="D78" s="176"/>
      <c r="E78" s="177"/>
      <c r="F78" s="177"/>
      <c r="G78" s="158"/>
      <c r="I78" s="154"/>
    </row>
    <row r="79" spans="2:9" x14ac:dyDescent="0.2">
      <c r="B79" s="149">
        <v>62</v>
      </c>
      <c r="C79" s="175">
        <f t="shared" si="4"/>
        <v>36383.946994231912</v>
      </c>
      <c r="D79" s="176"/>
      <c r="E79" s="177"/>
      <c r="F79" s="177"/>
      <c r="G79" s="158"/>
      <c r="I79" s="154"/>
    </row>
    <row r="80" spans="2:9" x14ac:dyDescent="0.2">
      <c r="B80" s="149">
        <v>63</v>
      </c>
      <c r="C80" s="175">
        <f t="shared" si="4"/>
        <v>36383.946994231912</v>
      </c>
      <c r="D80" s="176"/>
      <c r="E80" s="177"/>
      <c r="F80" s="177"/>
      <c r="G80" s="158"/>
      <c r="I80" s="154"/>
    </row>
    <row r="81" spans="2:9" x14ac:dyDescent="0.2">
      <c r="B81" s="149">
        <v>64</v>
      </c>
      <c r="C81" s="175">
        <f t="shared" si="4"/>
        <v>36383.946994231912</v>
      </c>
      <c r="D81" s="176"/>
      <c r="E81" s="177"/>
      <c r="F81" s="177"/>
      <c r="G81" s="158"/>
      <c r="I81" s="154"/>
    </row>
    <row r="82" spans="2:9" x14ac:dyDescent="0.2">
      <c r="B82" s="149">
        <v>65</v>
      </c>
      <c r="C82" s="175">
        <f t="shared" si="4"/>
        <v>36383.946994231912</v>
      </c>
      <c r="D82" s="176"/>
      <c r="E82" s="177"/>
      <c r="F82" s="177"/>
      <c r="G82" s="158"/>
      <c r="I82" s="154"/>
    </row>
    <row r="83" spans="2:9" x14ac:dyDescent="0.2">
      <c r="B83" s="149">
        <v>66</v>
      </c>
      <c r="C83" s="175">
        <f t="shared" si="4"/>
        <v>36383.946994231912</v>
      </c>
      <c r="D83" s="176"/>
      <c r="E83" s="177"/>
      <c r="F83" s="177"/>
      <c r="G83" s="158"/>
      <c r="I83" s="154"/>
    </row>
    <row r="84" spans="2:9" x14ac:dyDescent="0.2">
      <c r="B84" s="149">
        <v>67</v>
      </c>
      <c r="C84" s="175">
        <f t="shared" si="4"/>
        <v>36383.946994231912</v>
      </c>
      <c r="D84" s="176"/>
      <c r="E84" s="177"/>
      <c r="F84" s="177"/>
      <c r="G84" s="158"/>
      <c r="I84" s="154"/>
    </row>
    <row r="85" spans="2:9" x14ac:dyDescent="0.2">
      <c r="B85" s="149">
        <v>68</v>
      </c>
      <c r="C85" s="175">
        <f t="shared" si="4"/>
        <v>36383.946994231912</v>
      </c>
      <c r="D85" s="176"/>
      <c r="E85" s="177"/>
      <c r="F85" s="177"/>
      <c r="G85" s="158"/>
      <c r="I85" s="154"/>
    </row>
    <row r="86" spans="2:9" x14ac:dyDescent="0.2">
      <c r="B86" s="149">
        <v>69</v>
      </c>
      <c r="C86" s="175">
        <f t="shared" si="4"/>
        <v>36383.946994231912</v>
      </c>
      <c r="D86" s="176"/>
      <c r="E86" s="177"/>
      <c r="F86" s="177"/>
      <c r="G86" s="158"/>
      <c r="I86" s="154"/>
    </row>
    <row r="87" spans="2:9" x14ac:dyDescent="0.2">
      <c r="B87" s="149">
        <v>70</v>
      </c>
      <c r="C87" s="175">
        <f t="shared" si="4"/>
        <v>36383.946994231912</v>
      </c>
      <c r="D87" s="176"/>
      <c r="E87" s="177"/>
      <c r="F87" s="177"/>
      <c r="G87" s="158"/>
      <c r="I87" s="154"/>
    </row>
    <row r="88" spans="2:9" x14ac:dyDescent="0.2">
      <c r="B88" s="149">
        <v>71</v>
      </c>
      <c r="C88" s="175">
        <f t="shared" si="4"/>
        <v>36383.946994231912</v>
      </c>
      <c r="D88" s="176"/>
      <c r="E88" s="177"/>
      <c r="F88" s="177"/>
      <c r="G88" s="158"/>
      <c r="I88" s="154"/>
    </row>
    <row r="89" spans="2:9" x14ac:dyDescent="0.2">
      <c r="B89" s="149">
        <v>72</v>
      </c>
      <c r="C89" s="175">
        <f t="shared" si="4"/>
        <v>36383.946994231912</v>
      </c>
      <c r="D89" s="176"/>
      <c r="E89" s="177"/>
      <c r="F89" s="177"/>
      <c r="G89" s="158"/>
      <c r="I89" s="154"/>
    </row>
    <row r="90" spans="2:9" x14ac:dyDescent="0.2">
      <c r="B90" s="149">
        <v>73</v>
      </c>
      <c r="C90" s="175">
        <f t="shared" si="4"/>
        <v>36383.946994231912</v>
      </c>
      <c r="D90" s="176"/>
      <c r="E90" s="177"/>
      <c r="F90" s="177"/>
      <c r="G90" s="158"/>
      <c r="I90" s="154"/>
    </row>
    <row r="91" spans="2:9" x14ac:dyDescent="0.2">
      <c r="B91" s="149">
        <v>74</v>
      </c>
      <c r="C91" s="175">
        <f t="shared" si="4"/>
        <v>36383.946994231912</v>
      </c>
      <c r="D91" s="176"/>
      <c r="E91" s="177"/>
      <c r="F91" s="177"/>
      <c r="G91" s="158"/>
      <c r="I91" s="154"/>
    </row>
    <row r="92" spans="2:9" x14ac:dyDescent="0.2">
      <c r="B92" s="149">
        <v>75</v>
      </c>
      <c r="C92" s="175">
        <f t="shared" si="4"/>
        <v>36383.946994231912</v>
      </c>
      <c r="D92" s="176"/>
      <c r="E92" s="177"/>
      <c r="F92" s="177"/>
      <c r="G92" s="158"/>
      <c r="I92" s="154"/>
    </row>
    <row r="93" spans="2:9" x14ac:dyDescent="0.2">
      <c r="B93" s="149">
        <v>76</v>
      </c>
      <c r="C93" s="175">
        <f t="shared" si="4"/>
        <v>36383.946994231912</v>
      </c>
      <c r="D93" s="176"/>
      <c r="E93" s="177"/>
      <c r="F93" s="177"/>
      <c r="G93" s="158"/>
      <c r="I93" s="154"/>
    </row>
    <row r="94" spans="2:9" x14ac:dyDescent="0.2">
      <c r="B94" s="149">
        <v>77</v>
      </c>
      <c r="C94" s="175">
        <f t="shared" si="4"/>
        <v>36383.946994231912</v>
      </c>
      <c r="D94" s="176"/>
      <c r="E94" s="177"/>
      <c r="F94" s="177"/>
      <c r="G94" s="158"/>
      <c r="I94" s="154"/>
    </row>
    <row r="95" spans="2:9" x14ac:dyDescent="0.2">
      <c r="B95" s="149">
        <v>78</v>
      </c>
      <c r="C95" s="175">
        <f t="shared" si="4"/>
        <v>36383.946994231912</v>
      </c>
      <c r="D95" s="176"/>
      <c r="E95" s="177"/>
      <c r="F95" s="177"/>
      <c r="G95" s="158"/>
      <c r="I95" s="154"/>
    </row>
    <row r="96" spans="2:9" x14ac:dyDescent="0.2">
      <c r="B96" s="149">
        <v>79</v>
      </c>
      <c r="C96" s="175">
        <f t="shared" si="4"/>
        <v>36383.946994231912</v>
      </c>
      <c r="D96" s="176"/>
      <c r="E96" s="177"/>
      <c r="F96" s="177"/>
      <c r="G96" s="158"/>
      <c r="I96" s="154"/>
    </row>
    <row r="97" spans="2:9" x14ac:dyDescent="0.2">
      <c r="B97" s="149">
        <v>80</v>
      </c>
      <c r="C97" s="175">
        <f t="shared" si="4"/>
        <v>36383.946994231912</v>
      </c>
      <c r="D97" s="176"/>
      <c r="E97" s="177"/>
      <c r="F97" s="177"/>
      <c r="G97" s="158"/>
      <c r="I97" s="154"/>
    </row>
    <row r="98" spans="2:9" x14ac:dyDescent="0.2">
      <c r="B98" s="149">
        <v>81</v>
      </c>
      <c r="C98" s="175">
        <f t="shared" si="4"/>
        <v>36383.946994231912</v>
      </c>
      <c r="D98" s="176"/>
      <c r="E98" s="177"/>
      <c r="F98" s="177"/>
      <c r="G98" s="158"/>
      <c r="I98" s="154"/>
    </row>
    <row r="99" spans="2:9" x14ac:dyDescent="0.2">
      <c r="B99" s="149">
        <v>82</v>
      </c>
      <c r="C99" s="175">
        <f t="shared" si="4"/>
        <v>36383.946994231912</v>
      </c>
      <c r="D99" s="176"/>
      <c r="E99" s="177"/>
      <c r="F99" s="177"/>
      <c r="G99" s="158"/>
      <c r="I99" s="154"/>
    </row>
    <row r="100" spans="2:9" x14ac:dyDescent="0.2">
      <c r="B100" s="149">
        <v>83</v>
      </c>
      <c r="C100" s="175">
        <f t="shared" si="4"/>
        <v>36383.946994231912</v>
      </c>
      <c r="D100" s="176"/>
      <c r="E100" s="177"/>
      <c r="F100" s="177"/>
      <c r="G100" s="158"/>
      <c r="I100" s="154"/>
    </row>
    <row r="101" spans="2:9" x14ac:dyDescent="0.2">
      <c r="B101" s="149">
        <v>84</v>
      </c>
      <c r="C101" s="175">
        <f t="shared" si="4"/>
        <v>36383.946994231912</v>
      </c>
      <c r="D101" s="176"/>
      <c r="E101" s="177"/>
      <c r="F101" s="177"/>
      <c r="G101" s="158"/>
      <c r="I101" s="154"/>
    </row>
    <row r="102" spans="2:9" x14ac:dyDescent="0.2">
      <c r="B102" s="174"/>
      <c r="C102" s="175"/>
      <c r="D102" s="176"/>
      <c r="E102" s="177"/>
      <c r="F102" s="177"/>
      <c r="G102" s="158"/>
      <c r="I102" s="154"/>
    </row>
    <row r="103" spans="2:9" x14ac:dyDescent="0.2">
      <c r="B103" s="174"/>
      <c r="C103" s="175"/>
      <c r="D103" s="176"/>
      <c r="E103" s="177"/>
      <c r="F103" s="177"/>
      <c r="G103" s="158"/>
      <c r="I103" s="154"/>
    </row>
    <row r="104" spans="2:9" x14ac:dyDescent="0.2">
      <c r="B104" s="174"/>
      <c r="C104" s="175"/>
      <c r="D104" s="176"/>
      <c r="E104" s="177"/>
      <c r="F104" s="177"/>
      <c r="G104" s="158"/>
      <c r="I104" s="154"/>
    </row>
    <row r="105" spans="2:9" x14ac:dyDescent="0.2">
      <c r="B105" s="174"/>
      <c r="C105" s="175"/>
      <c r="D105" s="176"/>
      <c r="E105" s="177"/>
      <c r="F105" s="177"/>
      <c r="G105" s="158"/>
      <c r="I105" s="154"/>
    </row>
    <row r="106" spans="2:9" x14ac:dyDescent="0.2">
      <c r="B106" s="174"/>
      <c r="C106" s="175"/>
      <c r="D106" s="176"/>
      <c r="E106" s="177"/>
      <c r="F106" s="177"/>
      <c r="G106" s="158"/>
      <c r="I106" s="154"/>
    </row>
    <row r="107" spans="2:9" x14ac:dyDescent="0.2">
      <c r="B107" s="174"/>
      <c r="C107" s="175"/>
      <c r="D107" s="176"/>
      <c r="E107" s="177"/>
      <c r="F107" s="177"/>
      <c r="G107" s="158"/>
      <c r="I107" s="154"/>
    </row>
    <row r="108" spans="2:9" x14ac:dyDescent="0.2">
      <c r="B108" s="174"/>
      <c r="C108" s="175"/>
      <c r="D108" s="176"/>
      <c r="E108" s="177"/>
      <c r="F108" s="177"/>
      <c r="G108" s="158"/>
      <c r="I108" s="154"/>
    </row>
    <row r="109" spans="2:9" x14ac:dyDescent="0.2">
      <c r="B109" s="174"/>
      <c r="C109" s="175"/>
      <c r="D109" s="176"/>
      <c r="E109" s="177"/>
      <c r="F109" s="177"/>
      <c r="G109" s="158"/>
      <c r="I109" s="154"/>
    </row>
    <row r="110" spans="2:9" x14ac:dyDescent="0.2">
      <c r="B110" s="174"/>
      <c r="C110" s="175"/>
      <c r="D110" s="176"/>
      <c r="E110" s="177"/>
      <c r="F110" s="177"/>
      <c r="G110" s="158"/>
      <c r="I110" s="154"/>
    </row>
    <row r="111" spans="2:9" x14ac:dyDescent="0.2">
      <c r="B111" s="174"/>
      <c r="C111" s="175"/>
      <c r="D111" s="176"/>
      <c r="E111" s="177"/>
      <c r="F111" s="177"/>
      <c r="G111" s="158"/>
      <c r="I111" s="154"/>
    </row>
    <row r="112" spans="2:9" x14ac:dyDescent="0.2">
      <c r="B112" s="174"/>
      <c r="C112" s="175"/>
      <c r="D112" s="176"/>
      <c r="E112" s="177"/>
      <c r="F112" s="177"/>
      <c r="G112" s="158"/>
      <c r="I112" s="154"/>
    </row>
    <row r="113" spans="2:9" x14ac:dyDescent="0.2">
      <c r="B113" s="174"/>
      <c r="C113" s="175"/>
      <c r="D113" s="176"/>
      <c r="E113" s="177"/>
      <c r="F113" s="177"/>
      <c r="G113" s="158"/>
      <c r="I113" s="154"/>
    </row>
    <row r="114" spans="2:9" x14ac:dyDescent="0.2">
      <c r="B114" s="174"/>
      <c r="C114" s="175"/>
      <c r="D114" s="176"/>
      <c r="E114" s="177"/>
      <c r="F114" s="177"/>
      <c r="G114" s="158"/>
      <c r="I114" s="154"/>
    </row>
    <row r="115" spans="2:9" x14ac:dyDescent="0.2">
      <c r="B115" s="174"/>
      <c r="C115" s="175"/>
      <c r="D115" s="176"/>
      <c r="E115" s="177"/>
      <c r="F115" s="177"/>
      <c r="G115" s="158"/>
      <c r="I115" s="154"/>
    </row>
    <row r="116" spans="2:9" x14ac:dyDescent="0.2">
      <c r="B116" s="174"/>
      <c r="C116" s="175"/>
      <c r="D116" s="176"/>
      <c r="E116" s="177"/>
      <c r="F116" s="177"/>
      <c r="G116" s="158"/>
      <c r="I116" s="154"/>
    </row>
    <row r="117" spans="2:9" x14ac:dyDescent="0.2">
      <c r="B117" s="174"/>
      <c r="C117" s="175"/>
      <c r="D117" s="176"/>
      <c r="E117" s="177"/>
      <c r="F117" s="177"/>
      <c r="G117" s="158"/>
      <c r="I117" s="154"/>
    </row>
    <row r="118" spans="2:9" x14ac:dyDescent="0.2">
      <c r="B118" s="174"/>
      <c r="C118" s="175"/>
      <c r="D118" s="176"/>
      <c r="E118" s="177"/>
      <c r="F118" s="177"/>
      <c r="G118" s="158"/>
      <c r="I118" s="154"/>
    </row>
    <row r="119" spans="2:9" x14ac:dyDescent="0.2">
      <c r="B119" s="174"/>
      <c r="C119" s="175"/>
      <c r="D119" s="176"/>
      <c r="E119" s="177"/>
      <c r="F119" s="177"/>
      <c r="G119" s="158"/>
      <c r="I119" s="154"/>
    </row>
    <row r="124" spans="2:9" x14ac:dyDescent="0.2">
      <c r="B124" s="240" t="s">
        <v>157</v>
      </c>
      <c r="C124" s="241"/>
      <c r="D124" s="242"/>
    </row>
    <row r="126" spans="2:9" x14ac:dyDescent="0.2">
      <c r="B126" s="130">
        <v>100</v>
      </c>
      <c r="C126" s="161">
        <f>100+100*D8</f>
        <v>101.08333333333333</v>
      </c>
      <c r="D126" s="162">
        <f>B126/C126</f>
        <v>0.98928276999175602</v>
      </c>
    </row>
    <row r="127" spans="2:9" x14ac:dyDescent="0.2">
      <c r="B127" s="130">
        <v>100</v>
      </c>
      <c r="C127" s="161">
        <f>C126+C126*D8</f>
        <v>102.17840277777778</v>
      </c>
      <c r="D127" s="162">
        <f t="shared" ref="D127:D161" si="5">B127/C127</f>
        <v>0.97868039900256154</v>
      </c>
    </row>
    <row r="128" spans="2:9" x14ac:dyDescent="0.2">
      <c r="B128" s="130">
        <v>100</v>
      </c>
      <c r="C128" s="161">
        <f>C127+C127*D8</f>
        <v>103.28533547453704</v>
      </c>
      <c r="D128" s="162">
        <f t="shared" si="5"/>
        <v>0.96819165606189106</v>
      </c>
    </row>
    <row r="129" spans="2:4" x14ac:dyDescent="0.2">
      <c r="B129" s="130">
        <v>100</v>
      </c>
      <c r="C129" s="161">
        <f>C128+C128*D8</f>
        <v>104.40425994217786</v>
      </c>
      <c r="D129" s="162">
        <f t="shared" si="5"/>
        <v>0.95781532339181308</v>
      </c>
    </row>
    <row r="130" spans="2:4" x14ac:dyDescent="0.2">
      <c r="B130" s="130">
        <v>100</v>
      </c>
      <c r="C130" s="161">
        <f>C129+C129*D8</f>
        <v>105.53530609155145</v>
      </c>
      <c r="D130" s="162">
        <f t="shared" si="5"/>
        <v>0.94755019626560244</v>
      </c>
    </row>
    <row r="131" spans="2:4" x14ac:dyDescent="0.2">
      <c r="B131" s="130">
        <v>100</v>
      </c>
      <c r="C131" s="161">
        <f>C130+C130*D8</f>
        <v>106.67860524087659</v>
      </c>
      <c r="D131" s="162">
        <f t="shared" si="5"/>
        <v>0.9373950828678671</v>
      </c>
    </row>
    <row r="132" spans="2:4" x14ac:dyDescent="0.2">
      <c r="B132" s="130">
        <v>100</v>
      </c>
      <c r="C132" s="161">
        <f>C131+C131*D8</f>
        <v>107.83429013098609</v>
      </c>
      <c r="D132" s="162">
        <f t="shared" si="5"/>
        <v>0.92734880415617527</v>
      </c>
    </row>
    <row r="133" spans="2:4" x14ac:dyDescent="0.2">
      <c r="B133" s="130">
        <v>100</v>
      </c>
      <c r="C133" s="161">
        <f>C132+C132*D8</f>
        <v>109.00249494073844</v>
      </c>
      <c r="D133" s="162">
        <f t="shared" si="5"/>
        <v>0.91741019372416344</v>
      </c>
    </row>
    <row r="134" spans="2:4" x14ac:dyDescent="0.2">
      <c r="B134" s="130">
        <v>100</v>
      </c>
      <c r="C134" s="161">
        <f>C133+C133*D8</f>
        <v>110.18335530259644</v>
      </c>
      <c r="D134" s="162">
        <f t="shared" si="5"/>
        <v>0.90757809766611386</v>
      </c>
    </row>
    <row r="135" spans="2:4" x14ac:dyDescent="0.2">
      <c r="B135" s="130">
        <v>100</v>
      </c>
      <c r="C135" s="161">
        <f>C134+C134*D8</f>
        <v>111.37700831837456</v>
      </c>
      <c r="D135" s="162">
        <f t="shared" si="5"/>
        <v>0.89785137444298158</v>
      </c>
    </row>
    <row r="136" spans="2:4" x14ac:dyDescent="0.2">
      <c r="B136" s="130">
        <v>100</v>
      </c>
      <c r="C136" s="161">
        <f>C135+C135*D8</f>
        <v>112.58359257515696</v>
      </c>
      <c r="D136" s="162">
        <f t="shared" si="5"/>
        <v>0.88822889474985811</v>
      </c>
    </row>
    <row r="137" spans="2:4" x14ac:dyDescent="0.2">
      <c r="B137" s="130">
        <v>100</v>
      </c>
      <c r="C137" s="161">
        <f>C136+C136*D8</f>
        <v>113.80324816138783</v>
      </c>
      <c r="D137" s="162">
        <f t="shared" si="5"/>
        <v>0.87870954138485557</v>
      </c>
    </row>
    <row r="138" spans="2:4" x14ac:dyDescent="0.2">
      <c r="B138" s="130">
        <v>100</v>
      </c>
      <c r="C138" s="161">
        <f>C137+C137*D8</f>
        <v>115.0361166831362</v>
      </c>
      <c r="D138" s="162">
        <f t="shared" si="5"/>
        <v>0.86929220911939542</v>
      </c>
    </row>
    <row r="139" spans="2:4" x14ac:dyDescent="0.2">
      <c r="B139" s="130">
        <v>100</v>
      </c>
      <c r="C139" s="161">
        <f>C138+C138*D8</f>
        <v>116.28234128053684</v>
      </c>
      <c r="D139" s="162">
        <f t="shared" si="5"/>
        <v>0.85997580456988831</v>
      </c>
    </row>
    <row r="140" spans="2:4" x14ac:dyDescent="0.2">
      <c r="B140" s="130">
        <v>100</v>
      </c>
      <c r="C140" s="161">
        <f>C139+C139*D8</f>
        <v>117.54206664440932</v>
      </c>
      <c r="D140" s="162">
        <f t="shared" si="5"/>
        <v>0.85075924607078812</v>
      </c>
    </row>
    <row r="141" spans="2:4" x14ac:dyDescent="0.2">
      <c r="B141" s="130">
        <v>100</v>
      </c>
      <c r="C141" s="161">
        <f>C140+C140*D8</f>
        <v>118.81543903305709</v>
      </c>
      <c r="D141" s="162">
        <f t="shared" si="5"/>
        <v>0.84164146354900715</v>
      </c>
    </row>
    <row r="142" spans="2:4" x14ac:dyDescent="0.2">
      <c r="B142" s="130">
        <v>100</v>
      </c>
      <c r="C142" s="161">
        <f>C141+C141*D8</f>
        <v>120.10260628924854</v>
      </c>
      <c r="D142" s="162">
        <f t="shared" si="5"/>
        <v>0.8326213983996773</v>
      </c>
    </row>
    <row r="143" spans="2:4" x14ac:dyDescent="0.2">
      <c r="B143" s="130">
        <v>100</v>
      </c>
      <c r="C143" s="161">
        <f>C142+C142*D8</f>
        <v>121.40371785738206</v>
      </c>
      <c r="D143" s="162">
        <f t="shared" si="5"/>
        <v>0.82369800336324217</v>
      </c>
    </row>
    <row r="144" spans="2:4" x14ac:dyDescent="0.2">
      <c r="B144" s="130">
        <v>100</v>
      </c>
      <c r="C144" s="161">
        <f>C143+C143*D8</f>
        <v>122.71892480083703</v>
      </c>
      <c r="D144" s="162">
        <f t="shared" si="5"/>
        <v>0.81487024240386707</v>
      </c>
    </row>
    <row r="145" spans="2:4" x14ac:dyDescent="0.2">
      <c r="B145" s="130">
        <v>100</v>
      </c>
      <c r="C145" s="161">
        <f>C144+C144*D8</f>
        <v>124.04837981951276</v>
      </c>
      <c r="D145" s="162">
        <f t="shared" si="5"/>
        <v>0.80613709058915128</v>
      </c>
    </row>
    <row r="146" spans="2:4" x14ac:dyDescent="0.2">
      <c r="B146" s="130">
        <v>100</v>
      </c>
      <c r="C146" s="161">
        <f>C145+C145*D8</f>
        <v>125.39223726755748</v>
      </c>
      <c r="D146" s="162">
        <f t="shared" si="5"/>
        <v>0.79749753397113066</v>
      </c>
    </row>
    <row r="147" spans="2:4" x14ac:dyDescent="0.2">
      <c r="B147" s="130">
        <v>100</v>
      </c>
      <c r="C147" s="161">
        <f>C146+C146*D8</f>
        <v>126.75065317128934</v>
      </c>
      <c r="D147" s="162">
        <f t="shared" si="5"/>
        <v>0.78895056946855469</v>
      </c>
    </row>
    <row r="148" spans="2:4" x14ac:dyDescent="0.2">
      <c r="B148" s="130">
        <v>100</v>
      </c>
      <c r="C148" s="161">
        <f>C147+C147*D8</f>
        <v>128.12378524731164</v>
      </c>
      <c r="D148" s="162">
        <f t="shared" si="5"/>
        <v>0.78049520475042511</v>
      </c>
    </row>
    <row r="149" spans="2:4" x14ac:dyDescent="0.2">
      <c r="B149" s="130">
        <v>100</v>
      </c>
      <c r="C149" s="161">
        <f>C148+C148*D8</f>
        <v>129.51179292082418</v>
      </c>
      <c r="D149" s="162">
        <f t="shared" si="5"/>
        <v>0.7721304581207834</v>
      </c>
    </row>
    <row r="150" spans="2:4" x14ac:dyDescent="0.2">
      <c r="B150" s="130">
        <v>100</v>
      </c>
      <c r="C150" s="161">
        <f>C149+C149*D8</f>
        <v>130.9148373441331</v>
      </c>
      <c r="D150" s="162">
        <f t="shared" si="5"/>
        <v>0.76385535840473207</v>
      </c>
    </row>
    <row r="151" spans="2:4" x14ac:dyDescent="0.2">
      <c r="B151" s="130">
        <v>100</v>
      </c>
      <c r="C151" s="161">
        <f>C150+C150*D8</f>
        <v>132.33308141536122</v>
      </c>
      <c r="D151" s="162">
        <f t="shared" si="5"/>
        <v>0.75566894483567892</v>
      </c>
    </row>
    <row r="152" spans="2:4" x14ac:dyDescent="0.2">
      <c r="B152" s="130">
        <v>100</v>
      </c>
      <c r="C152" s="161">
        <f>C151+C151*D8</f>
        <v>133.76668979736095</v>
      </c>
      <c r="D152" s="162">
        <f t="shared" si="5"/>
        <v>0.74757026694378792</v>
      </c>
    </row>
    <row r="153" spans="2:4" x14ac:dyDescent="0.2">
      <c r="B153" s="130">
        <v>100</v>
      </c>
      <c r="C153" s="161">
        <f>C152+C152*D8</f>
        <v>135.21582893683237</v>
      </c>
      <c r="D153" s="162">
        <f t="shared" si="5"/>
        <v>0.73955838444562694</v>
      </c>
    </row>
    <row r="154" spans="2:4" x14ac:dyDescent="0.2">
      <c r="B154" s="130">
        <v>100</v>
      </c>
      <c r="C154" s="161">
        <f>C153+C153*D8</f>
        <v>136.68066708364805</v>
      </c>
      <c r="D154" s="162">
        <f t="shared" si="5"/>
        <v>0.7316323671349978</v>
      </c>
    </row>
    <row r="155" spans="2:4" x14ac:dyDescent="0.2">
      <c r="B155" s="130">
        <v>100</v>
      </c>
      <c r="C155" s="161">
        <f>C154+C154*D8</f>
        <v>138.16137431038757</v>
      </c>
      <c r="D155" s="162">
        <f t="shared" si="5"/>
        <v>0.72379129477493598</v>
      </c>
    </row>
    <row r="156" spans="2:4" x14ac:dyDescent="0.2">
      <c r="B156" s="130">
        <v>100</v>
      </c>
      <c r="C156" s="161">
        <f>C155+C155*D8</f>
        <v>139.65812253208344</v>
      </c>
      <c r="D156" s="162">
        <f t="shared" si="5"/>
        <v>0.7160342569908682</v>
      </c>
    </row>
    <row r="157" spans="2:4" x14ac:dyDescent="0.2">
      <c r="B157" s="130">
        <v>100</v>
      </c>
      <c r="C157" s="161">
        <f>C156+C156*D8</f>
        <v>141.171085526181</v>
      </c>
      <c r="D157" s="162">
        <f t="shared" si="5"/>
        <v>0.70836035316491508</v>
      </c>
    </row>
    <row r="158" spans="2:4" x14ac:dyDescent="0.2">
      <c r="B158" s="130">
        <v>100</v>
      </c>
      <c r="C158" s="161">
        <f>C157+C157*D8</f>
        <v>142.70043895271462</v>
      </c>
      <c r="D158" s="162">
        <f t="shared" si="5"/>
        <v>0.70076869233132577</v>
      </c>
    </row>
    <row r="159" spans="2:4" x14ac:dyDescent="0.2">
      <c r="B159" s="130">
        <v>100</v>
      </c>
      <c r="C159" s="161">
        <f>C158+C158*D8</f>
        <v>144.24636037470236</v>
      </c>
      <c r="D159" s="162">
        <f t="shared" si="5"/>
        <v>0.6932583930730345</v>
      </c>
    </row>
    <row r="160" spans="2:4" x14ac:dyDescent="0.2">
      <c r="B160" s="130">
        <v>100</v>
      </c>
      <c r="C160" s="161">
        <f>C159+C159*D8</f>
        <v>145.80902927876164</v>
      </c>
      <c r="D160" s="162">
        <f t="shared" si="5"/>
        <v>0.68582858341932518</v>
      </c>
    </row>
    <row r="161" spans="2:4" x14ac:dyDescent="0.2">
      <c r="B161" s="130">
        <v>100</v>
      </c>
      <c r="C161" s="161">
        <f>C160+C160*D8</f>
        <v>147.38862709594824</v>
      </c>
      <c r="D161" s="162">
        <f t="shared" si="5"/>
        <v>0.67847840074459198</v>
      </c>
    </row>
    <row r="162" spans="2:4" x14ac:dyDescent="0.2">
      <c r="B162" s="243" t="s">
        <v>158</v>
      </c>
      <c r="C162" s="243"/>
      <c r="D162" s="162">
        <f>SUM(D126:D161)</f>
        <v>29.678916854345378</v>
      </c>
    </row>
  </sheetData>
  <mergeCells count="11">
    <mergeCell ref="B8:C8"/>
    <mergeCell ref="B2:G2"/>
    <mergeCell ref="I2:K2"/>
    <mergeCell ref="B4:C4"/>
    <mergeCell ref="I4:K6"/>
    <mergeCell ref="B6:C6"/>
    <mergeCell ref="B10:C10"/>
    <mergeCell ref="B12:C12"/>
    <mergeCell ref="B14:F14"/>
    <mergeCell ref="B124:D124"/>
    <mergeCell ref="B162:C162"/>
  </mergeCells>
  <dataValidations count="2">
    <dataValidation errorStyle="warning" allowBlank="1" showInputMessage="1" showErrorMessage="1" errorTitle="ONLY %" promptTitle="INTEREST % PER ANNUM" sqref="D6"/>
    <dataValidation type="textLength" allowBlank="1" showInputMessage="1" showErrorMessage="1" sqref="D8">
      <formula1>0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INFO PAGE</vt:lpstr>
      <vt:lpstr>FRONT PAGE</vt:lpstr>
      <vt:lpstr>FINAL REPORT</vt:lpstr>
      <vt:lpstr>SCH 2 cap</vt:lpstr>
      <vt:lpstr>SCH 2</vt:lpstr>
      <vt:lpstr>EMI</vt:lpstr>
      <vt:lpstr>OD</vt:lpstr>
      <vt:lpstr>Sheet1</vt:lpstr>
      <vt:lpstr>dep</vt:lpstr>
      <vt:lpstr>drscrs</vt:lpstr>
      <vt:lpstr>ns</vt:lpstr>
      <vt:lpstr>EMI!Print_Area</vt:lpstr>
      <vt:lpstr>'FINAL REPORT'!Print_Area</vt:lpstr>
      <vt:lpstr>'INFO PAGE'!Print_Area</vt:lpstr>
      <vt:lpstr>'SCH 2'!Print_Area</vt:lpstr>
      <vt:lpstr>'SCH 2 cap'!Print_Area</vt:lpstr>
      <vt:lpstr>profitloss</vt:lpstr>
      <vt:lpstr>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CASK-02</cp:lastModifiedBy>
  <cp:lastPrinted>2026-09-18T07:39:07Z</cp:lastPrinted>
  <dcterms:created xsi:type="dcterms:W3CDTF">2004-06-30T15:12:22Z</dcterms:created>
  <dcterms:modified xsi:type="dcterms:W3CDTF">2026-09-18T07:39:41Z</dcterms:modified>
</cp:coreProperties>
</file>